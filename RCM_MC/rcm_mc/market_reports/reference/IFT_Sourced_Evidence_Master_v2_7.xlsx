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15.xml" ContentType="application/vnd.openxmlformats-officedocument.spreadsheetml.comments+xml"/>
  <Override PartName="/xl/styles.xml" ContentType="application/vnd.openxmlformats-officedocument.spreadsheetml.styles+xml"/>
  <Override PartName="/xl/worksheets/_rels/sheet19.xml.rels" ContentType="application/vnd.openxmlformats-package.relationships+xml"/>
  <Override PartName="/xl/worksheets/_rels/sheet21.xml.rels" ContentType="application/vnd.openxmlformats-package.relationships+xml"/>
  <Override PartName="/xl/worksheets/_rels/sheet16.xml.rels" ContentType="application/vnd.openxmlformats-package.relationships+xml"/>
  <Override PartName="/xl/worksheets/_rels/sheet15.xml.rels" ContentType="application/vnd.openxmlformats-package.relationships+xml"/>
  <Override PartName="/xl/worksheets/_rels/sheet47.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29.xml.rels" ContentType="application/vnd.openxmlformats-package.relationships+xml"/>
  <Override PartName="/xl/worksheets/_rels/sheet28.xml.rels" ContentType="application/vnd.openxmlformats-package.relationships+xml"/>
  <Override PartName="/xl/worksheets/_rels/sheet25.xml.rels" ContentType="application/vnd.openxmlformats-package.relationships+xml"/>
  <Override PartName="/xl/worksheets/_rels/sheet24.xml.rels" ContentType="application/vnd.openxmlformats-package.relationships+xml"/>
  <Override PartName="/xl/worksheets/_rels/sheet23.xml.rels" ContentType="application/vnd.openxmlformats-package.relationships+xml"/>
  <Override PartName="/xl/worksheets/_rels/sheet22.xml.rels" ContentType="application/vnd.openxmlformats-package.relationships+xml"/>
  <Override PartName="/xl/worksheets/_rels/sheet34.xml.rels" ContentType="application/vnd.openxmlformats-package.relationships+xml"/>
  <Override PartName="/xl/worksheets/_rels/sheet10.xml.rels" ContentType="application/vnd.openxmlformats-package.relationships+xml"/>
  <Override PartName="/xl/worksheets/_rels/sheet45.xml.rels" ContentType="application/vnd.openxmlformats-package.relationships+xml"/>
  <Override PartName="/xl/worksheets/_rels/sheet4.xml.rels" ContentType="application/vnd.openxmlformats-package.relationships+xml"/>
  <Override PartName="/xl/worksheets/_rels/sheet33.xml.rels" ContentType="application/vnd.openxmlformats-package.relationships+xml"/>
  <Override PartName="/xl/worksheets/_rels/sheet32.xml.rels" ContentType="application/vnd.openxmlformats-package.relationships+xml"/>
  <Override PartName="/xl/worksheets/_rels/sheet20.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40.xml" ContentType="application/vnd.openxmlformats-officedocument.spreadsheetml.worksheet+xml"/>
  <Override PartName="/xl/worksheets/sheet39.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xml" ContentType="application/vnd.openxmlformats-officedocument.spreadsheetml.worksheet+xml"/>
  <Override PartName="/xl/worksheets/sheet45.xml" ContentType="application/vnd.openxmlformats-officedocument.spreadsheetml.worksheet+xml"/>
  <Override PartName="/xl/worksheets/sheet5.xml" ContentType="application/vnd.openxmlformats-officedocument.spreadsheetml.worksheet+xml"/>
  <Override PartName="/xl/worksheets/sheet34.xml" ContentType="application/vnd.openxmlformats-officedocument.spreadsheetml.worksheet+xml"/>
  <Override PartName="/xl/worksheets/sheet46.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33.xml" ContentType="application/vnd.openxmlformats-officedocument.spreadsheetml.worksheet+xml"/>
  <Override PartName="/xl/worksheets/sheet32.xml" ContentType="application/vnd.openxmlformats-officedocument.spreadsheetml.worksheet+xml"/>
  <Override PartName="/xl/worksheets/sheet10.xml" ContentType="application/vnd.openxmlformats-officedocument.spreadsheetml.worksheet+xml"/>
  <Override PartName="/xl/worksheets/sheet47.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31.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sharedStrings.xml" ContentType="application/vnd.openxmlformats-officedocument.spreadsheetml.sharedStrings+xml"/>
  <Override PartName="/xl/drawings/drawing9.xml" ContentType="application/vnd.openxmlformats-officedocument.drawing+xml"/>
  <Override PartName="/xl/drawings/drawing8.xml" ContentType="application/vnd.openxmlformats-officedocument.drawing+xml"/>
  <Override PartName="/xl/drawings/drawing17.xml" ContentType="application/vnd.openxmlformats-officedocument.drawing+xml"/>
  <Override PartName="/xl/drawings/drawing7.xml" ContentType="application/vnd.openxmlformats-officedocument.drawing+xml"/>
  <Override PartName="/xl/drawings/drawing1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drawings/_rels/drawing1.xml.rels" ContentType="application/vnd.openxmlformats-package.relationships+xml"/>
  <Override PartName="/xl/drawings/_rels/drawing9.xml.rels" ContentType="application/vnd.openxmlformats-package.relationships+xml"/>
  <Override PartName="/xl/drawings/_rels/drawing14.xml.rels" ContentType="application/vnd.openxmlformats-package.relationships+xml"/>
  <Override PartName="/xl/drawings/_rels/drawing11.xml.rels" ContentType="application/vnd.openxmlformats-package.relationships+xml"/>
  <Override PartName="/xl/drawings/_rels/drawing6.xml.rels" ContentType="application/vnd.openxmlformats-package.relationships+xml"/>
  <Override PartName="/xl/drawings/_rels/drawing12.xml.rels" ContentType="application/vnd.openxmlformats-package.relationships+xml"/>
  <Override PartName="/xl/drawings/_rels/drawing7.xml.rels" ContentType="application/vnd.openxmlformats-package.relationships+xml"/>
  <Override PartName="/xl/drawings/_rels/drawing3.xml.rels" ContentType="application/vnd.openxmlformats-package.relationships+xml"/>
  <Override PartName="/xl/drawings/_rels/drawing13.xml.rels" ContentType="application/vnd.openxmlformats-package.relationships+xml"/>
  <Override PartName="/xl/drawings/_rels/drawing8.xml.rels" ContentType="application/vnd.openxmlformats-package.relationships+xml"/>
  <Override PartName="/xl/drawings/_rels/drawing4.xml.rels" ContentType="application/vnd.openxmlformats-package.relationships+xml"/>
  <Override PartName="/xl/drawings/_rels/drawing5.xml.rels" ContentType="application/vnd.openxmlformats-package.relationships+xml"/>
  <Override PartName="/xl/drawings/_rels/drawing10.xml.rels" ContentType="application/vnd.openxmlformats-package.relationships+xml"/>
  <Override PartName="/xl/drawings/_rels/drawing15.xml.rels" ContentType="application/vnd.openxmlformats-package.relationships+xml"/>
  <Override PartName="/xl/drawings/drawing12.xml" ContentType="application/vnd.openxmlformats-officedocument.drawing+xml"/>
  <Override PartName="/xl/drawings/drawing3.xml" ContentType="application/vnd.openxmlformats-officedocument.drawing+xml"/>
  <Override PartName="/xl/drawings/vmlDrawing2.vml" ContentType="application/vnd.openxmlformats-officedocument.vmlDrawing"/>
  <Override PartName="/xl/drawings/drawing13.xml" ContentType="application/vnd.openxmlformats-officedocument.drawing+xml"/>
  <Override PartName="/xl/drawings/vmlDrawing3.vml" ContentType="application/vnd.openxmlformats-officedocument.vmlDrawing"/>
  <Override PartName="/xl/drawings/drawing4.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charts/chart29.xml" ContentType="application/vnd.openxmlformats-officedocument.drawingml.chart+xml"/>
  <Override PartName="/xl/charts/chart28.xml" ContentType="application/vnd.openxmlformats-officedocument.drawingml.chart+xml"/>
  <Override PartName="/xl/charts/chart27.xml" ContentType="application/vnd.openxmlformats-officedocument.drawingml.chart+xml"/>
  <Override PartName="/xl/charts/chart26.xml" ContentType="application/vnd.openxmlformats-officedocument.drawingml.chart+xml"/>
  <Override PartName="/xl/charts/chart25.xml" ContentType="application/vnd.openxmlformats-officedocument.drawingml.chart+xml"/>
  <Override PartName="/xl/charts/chart24.xml" ContentType="application/vnd.openxmlformats-officedocument.drawingml.chart+xml"/>
  <Override PartName="/xl/charts/chart23.xml" ContentType="application/vnd.openxmlformats-officedocument.drawingml.chart+xml"/>
  <Override PartName="/xl/charts/chart22.xml" ContentType="application/vnd.openxmlformats-officedocument.drawingml.chart+xml"/>
  <Override PartName="/xl/charts/chart6.xml" ContentType="application/vnd.openxmlformats-officedocument.drawingml.chart+xml"/>
  <Override PartName="/xl/charts/chart11.xml" ContentType="application/vnd.openxmlformats-officedocument.drawingml.chart+xml"/>
  <Override PartName="/xl/charts/chart7.xml" ContentType="application/vnd.openxmlformats-officedocument.drawingml.chart+xml"/>
  <Override PartName="/xl/charts/chart12.xml" ContentType="application/vnd.openxmlformats-officedocument.drawingml.chart+xml"/>
  <Override PartName="/xl/charts/chart8.xml" ContentType="application/vnd.openxmlformats-officedocument.drawingml.chart+xml"/>
  <Override PartName="/xl/charts/chart13.xml" ContentType="application/vnd.openxmlformats-officedocument.drawingml.chart+xml"/>
  <Override PartName="/xl/charts/chart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10.xml" ContentType="application/vnd.openxmlformats-officedocument.drawingml.chart+xml"/>
  <Override PartName="/xl/charts/chart34.xml" ContentType="application/vnd.openxmlformats-officedocument.drawingml.chart+xml"/>
  <Override PartName="/xl/charts/chart5.xml" ContentType="application/vnd.openxmlformats-officedocument.drawingml.chart+xml"/>
  <Override PartName="/xl/charts/chart4.xml" ContentType="application/vnd.openxmlformats-officedocument.drawingml.chart+xml"/>
  <Override PartName="/xl/charts/chart2.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xml" ContentType="application/vnd.openxmlformats-officedocument.drawingml.chart+xml"/>
  <Override PartName="/xl/charts/chart1.xml" ContentType="application/vnd.openxmlformats-officedocument.drawingml.chart+xml"/>
  <Override PartName="/xl/charts/chart35.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20.xml" ContentType="application/vnd.openxmlformats-officedocument.drawingml.chart+xml"/>
  <Override PartName="/xl/charts/chart19.xml" ContentType="application/vnd.openxmlformats-officedocument.drawingml.chart+xml"/>
  <Override PartName="/xl/charts/chart21.xml" ContentType="application/vnd.openxmlformats-officedocument.drawingml.chart+xml"/>
  <Override PartName="/xl/comments12.xml" ContentType="application/vnd.openxmlformats-officedocument.spreadsheetml.comments+xml"/>
  <Override PartName="/xl/_rels/workbook.xml.rels" ContentType="application/vnd.openxmlformats-package.relationships+xml"/>
  <Override PartName="/xl/comments1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Methodology" sheetId="2" state="visible" r:id="rId4"/>
    <sheet name="Findings" sheetId="3" state="visible" r:id="rId5"/>
    <sheet name="Charts" sheetId="4" state="visible" r:id="rId6"/>
    <sheet name="Verification_Log" sheetId="5" state="visible" r:id="rId7"/>
    <sheet name="Fact_Ledger" sheetId="6" state="visible" r:id="rId8"/>
    <sheet name="Source_Register" sheetId="7" state="visible" r:id="rId9"/>
    <sheet name="Source_Index" sheetId="8" state="visible" r:id="rId10"/>
    <sheet name="Demand_Drivers" sheetId="9" state="visible" r:id="rId11"/>
    <sheet name="Macro_Demand_Drivers" sheetId="10" state="visible" r:id="rId12"/>
    <sheet name="Demand_Stack" sheetId="11" state="visible" r:id="rId13"/>
    <sheet name="Acute_IFT_Series" sheetId="12" state="visible" r:id="rId14"/>
    <sheet name="Condition_Transfer_Anchors" sheetId="13" state="visible" r:id="rId15"/>
    <sheet name="Other_Transfer_Channels" sheetId="14" state="visible" r:id="rId16"/>
    <sheet name="Receiving_Side" sheetId="15" state="visible" r:id="rId17"/>
    <sheet name="EMS_Transports" sheetId="16" state="visible" r:id="rId18"/>
    <sheet name="Medicare_PSPS" sheetId="17" state="visible" r:id="rId19"/>
    <sheet name="Medicare_IFT_Series" sheetId="18" state="visible" r:id="rId20"/>
    <sheet name="Medicare_OD_Matrix" sheetId="19" state="visible" r:id="rId21"/>
    <sheet name="Utilization_Normalized" sheetId="20" state="visible" r:id="rId22"/>
    <sheet name="Acuity_by_Channel" sheetId="21" state="visible" r:id="rId23"/>
    <sheet name="Air_Ambulance_IFT" sheetId="22" state="visible" r:id="rId24"/>
    <sheet name="Dialysis_ESRD_Channel" sheetId="23" state="visible" r:id="rId25"/>
    <sheet name="Payment_Rules" sheetId="24" state="visible" r:id="rId26"/>
    <sheet name="Payer_Rates_Commercial" sheetId="25" state="visible" r:id="rId27"/>
    <sheet name="Supplier_Landscape" sheetId="26" state="visible" r:id="rId28"/>
    <sheet name="Supplier_Series_Raw" sheetId="27" state="visible" r:id="rId29"/>
    <sheet name="Supplier_Trend" sheetId="28" state="visible" r:id="rId30"/>
    <sheet name="Workforce_Supply" sheetId="29" state="visible" r:id="rId31"/>
    <sheet name="Supply_Stack" sheetId="30" state="visible" r:id="rId32"/>
    <sheet name="State_Saturation_Raw" sheetId="31" state="visible" r:id="rId33"/>
    <sheet name="State_Saturation" sheetId="32" state="visible" r:id="rId34"/>
    <sheet name="MSA_Landscape" sheetId="33" state="visible" r:id="rId35"/>
    <sheet name="Imbalance_Ledger" sheetId="34" state="visible" r:id="rId36"/>
    <sheet name="Sizing_Playbook" sheetId="35" state="visible" r:id="rId37"/>
    <sheet name="TAM_Model_National" sheetId="36" state="visible" r:id="rId38"/>
    <sheet name="Engagement_Data_Map" sheetId="37" state="visible" r:id="rId39"/>
    <sheet name="Cost_and_Capacity" sheetId="38" state="visible" r:id="rId40"/>
    <sheet name="MedPAC_2026_Mandated" sheetId="39" state="visible" r:id="rId41"/>
    <sheet name="Cross_Source_Recon" sheetId="40" state="visible" r:id="rId42"/>
    <sheet name="IFT_Alt_Measures" sheetId="41" state="visible" r:id="rId43"/>
    <sheet name="Code_Crosswalks" sheetId="42" state="visible" r:id="rId44"/>
    <sheet name="Dataset_Linkage_Map" sheetId="43" state="visible" r:id="rId45"/>
    <sheet name="Fault_Audit" sheetId="44" state="visible" r:id="rId46"/>
    <sheet name="Data_Quality_Register" sheetId="45" state="visible" r:id="rId47"/>
    <sheet name="Clinical_Volumes_TierC" sheetId="46" state="visible" r:id="rId48"/>
    <sheet name="Excluded_Not_Sourced" sheetId="47" state="visible" r:id="rId49"/>
  </sheets>
  <definedNames>
    <definedName function="false" hidden="false" localSheetId="11" name="_xlnm.Print_Titles" vbProcedure="false">Acute_IFT_Series!$4:$4</definedName>
    <definedName function="false" hidden="false" localSheetId="45" name="_xlnm.Print_Titles" vbProcedure="false">Clinical_Volumes_TierC!$4:$4</definedName>
    <definedName function="false" hidden="false" localSheetId="44" name="_xlnm.Print_Titles" vbProcedure="false">Data_Quality_Register!$4:$4</definedName>
    <definedName function="false" hidden="true" localSheetId="44" name="_xlnm._FilterDatabase" vbProcedure="false">Data_Quality_Register!$A$4:$F$29</definedName>
    <definedName function="false" hidden="false" localSheetId="46" name="_xlnm.Print_Titles" vbProcedure="false">Excluded_Not_Sourced!$4:$4</definedName>
    <definedName function="false" hidden="true" localSheetId="46" name="_xlnm._FilterDatabase" vbProcedure="false">Excluded_Not_Sourced!$A$4:$F$34</definedName>
    <definedName function="false" hidden="false" localSheetId="5" name="_xlnm.Print_Titles" vbProcedure="false">Fact_Ledger!$4:$4</definedName>
    <definedName function="false" hidden="true" localSheetId="5" name="_xlnm._FilterDatabase" vbProcedure="false">Fact_Ledger!$A$4:$K$113</definedName>
    <definedName function="false" hidden="false" localSheetId="2" name="_xlnm.Print_Titles" vbProcedure="false">Findings!$4:$4</definedName>
    <definedName function="false" hidden="false" localSheetId="17" name="_xlnm.Print_Titles" vbProcedure="false">Medicare_IFT_Series!$4:$4</definedName>
    <definedName function="false" hidden="false" localSheetId="4" name="_xlnm.Print_Titles" vbProcedure="false">Verification_Log!$5:$5</definedName>
  </definedNames>
  <calcPr iterateCount="100" refMode="A1" iterate="false" iterateDelta="0.0001"/>
  <extLst>
    <ext xmlns:loext="http://schemas.libreoffice.org/" uri="{7626C862-2A13-11E5-B345-FEFF819CDC9F}">
      <loext:extCalcPr stringRefSyntax="ExcelA1"/>
    </ext>
  </extLst>
</workbook>
</file>

<file path=xl/comments12.xml><?xml version="1.0" encoding="utf-8"?>
<comments xmlns="http://schemas.openxmlformats.org/spreadsheetml/2006/main" xmlns:xdr="http://schemas.openxmlformats.org/drawingml/2006/spreadsheetDrawing">
  <authors>
    <author>Unknown Author</author>
  </authors>
  <commentList>
    <comment ref="B5" authorId="0">
      <text>
        <r>
          <rPr>
            <sz val="10"/>
            <rFont val="Arial"/>
            <family val="2"/>
          </rPr>
          <t xml:space="preserve">Source S01: HCUP NEDS Weighted Summary Statistics, Core File, DISP_ED weighted frequency distribution.</t>
        </r>
      </text>
    </comment>
    <comment ref="C5" authorId="0">
      <text>
        <r>
          <rPr>
            <sz val="10"/>
            <rFont val="Arial"/>
            <family val="2"/>
          </rPr>
          <t xml:space="preserve">Source S04: HCUP NIS Weighted Summary Statistics, Core File, DISPUNIFORM weighted frequency distribution.</t>
        </r>
      </text>
    </comment>
    <comment ref="E5" authorId="0">
      <text>
        <r>
          <rPr>
            <sz val="10"/>
            <rFont val="Arial"/>
            <family val="2"/>
          </rPr>
          <t xml:space="preserve">Source S05 (2007-2018, AHA TrendWatch Chartbook 2020 Appendix Table 3.1) and S06-S10 (2019-2023, AHA Fast Facts editions 2021-2025).</t>
        </r>
      </text>
    </comment>
    <comment ref="H5" authorId="0">
      <text>
        <r>
          <rPr>
            <sz val="10"/>
            <rFont val="Arial"/>
            <family val="2"/>
          </rPr>
          <t xml:space="preserve">Source S04: HCUP NIS Weighted Summary Statistics, Core File, DISPUNIFORM weighted frequency distribution.</t>
        </r>
      </text>
    </comment>
  </commentList>
</comments>
</file>

<file path=xl/comments15.xml><?xml version="1.0" encoding="utf-8"?>
<comments xmlns="http://schemas.openxmlformats.org/spreadsheetml/2006/main" xmlns:xdr="http://schemas.openxmlformats.org/drawingml/2006/spreadsheetDrawing">
  <authors>
    <author>Unknown Author</author>
  </authors>
  <commentList>
    <comment ref="C5" authorId="0">
      <text>
        <r>
          <rPr>
            <sz val="10"/>
            <rFont val="Arial"/>
            <family val="2"/>
          </rPr>
          <t xml:space="preserve">Source S04: HCUP NIS Weighted Summary Statistics, TRAN_IN frequency distribution.</t>
        </r>
      </text>
    </comment>
  </commentList>
</comments>
</file>

<file path=xl/comments16.xml><?xml version="1.0" encoding="utf-8"?>
<comments xmlns="http://schemas.openxmlformats.org/spreadsheetml/2006/main" xmlns:xdr="http://schemas.openxmlformats.org/drawingml/2006/spreadsheetDrawing">
  <authors>
    <author>Unknown Author</author>
  </authors>
  <commentList>
    <comment ref="B78" authorId="0">
      <text>
        <r>
          <rPr>
            <sz val="10"/>
            <rFont val="Arial"/>
            <family val="2"/>
          </rPr>
          <t xml:space="preserve">Source S25: NCHS NHAMCS 2016 ED Summary Tables, Table 5. ED visits arriving by ambulance.</t>
        </r>
      </text>
    </comment>
    <comment ref="C78" authorId="0">
      <text>
        <r>
          <rPr>
            <sz val="10"/>
            <rFont val="Arial"/>
            <family val="2"/>
          </rPr>
          <t xml:space="preserve">Source S25: 22,936,000 ambulance arrivals + 119,070,000 other-mode arrivals.</t>
        </r>
      </text>
    </comment>
  </commentList>
</comments>
</file>

<file path=xl/sharedStrings.xml><?xml version="1.0" encoding="utf-8"?>
<sst xmlns="http://schemas.openxmlformats.org/spreadsheetml/2006/main" count="7212" uniqueCount="4506">
  <si>
    <t xml:space="preserve">US Interfacility Transport: Sourced Evidence Master</t>
  </si>
  <si>
    <t xml:space="preserve">A complete, source-verified evidence base for the United States interfacility medical transport market: who moves, between which care settings, at what clinical acuity, paid by whom, at what price, and served by which suppliers. Built and verified 09 to 10 July 2026.</t>
  </si>
  <si>
    <t xml:space="preserve">What this workbook is, in one paragraph</t>
  </si>
  <si>
    <t xml:space="preserve">Every number in these 43 tabs comes from a named government dataset, a peer-reviewed study, or a published primary document, or is computed by a visible Excel formula from numbers that do. Nothing is modeled, blended, or assumed. Where a figure the market usually wants does not exist in any public source, this workbook says so and names exactly what would produce it. That refusal is deliberate: the analyses here are built to survive diligence questioning, so every claim can be walked back to its document in three steps.</t>
  </si>
  <si>
    <t xml:space="preserve">How to read any number in three steps</t>
  </si>
  <si>
    <t xml:space="preserve">Step 1: every tab tags its figures with Fact IDs (F01 to F165). Step 2: the Fact_Ledger resolves each ID to a source, tier, and locator down to the table or page. Step 3: the Source_Index identifies all 73 sources on one row each, with the full citation and URL on the Source_Register. If a figure is labeled DERIVED, the ledger names its inputs and the cell shows the arithmetic.</t>
  </si>
  <si>
    <t xml:space="preserve">The colour and label conventions</t>
  </si>
  <si>
    <t xml:space="preserve">Blue font: a value hardcoded from a source document. Black font: an Excel formula. Green font: a link to another tab. Tier A: verified against the primary document. Tier B: published but secondary, or a figure that moves over time. SOURCED: carried from an upstream dataset and not independently reopened. DERIVED: computed here, with inputs named. Every derived comparison prints its caveat in the same row it appears.</t>
  </si>
  <si>
    <t xml:space="preserve">The map: what each section answers</t>
  </si>
  <si>
    <t xml:space="preserve">Section</t>
  </si>
  <si>
    <t xml:space="preserve">Tabs</t>
  </si>
  <si>
    <t xml:space="preserve">The question it answers</t>
  </si>
  <si>
    <t xml:space="preserve">Governance</t>
  </si>
  <si>
    <t xml:space="preserve">Methodology, Findings, Charts, Verification_Log, Fact_Ledger, Source_Register, Source_Index</t>
  </si>
  <si>
    <t xml:space="preserve">Why every number is here, the 41 findings that matter, and the complete audit trail.</t>
  </si>
  <si>
    <t xml:space="preserve">Demand</t>
  </si>
  <si>
    <t xml:space="preserve">Demand_Drivers, Macro_Demand_Drivers, Demand_Stack, Acute_IFT_Series, Other_Transfer_Channels, Receiving_Side, EMS_Transports</t>
  </si>
  <si>
    <t xml:space="preserve">How many patients move, from which settings, driven by which measured forces.</t>
  </si>
  <si>
    <t xml:space="preserve">Medicare claims core</t>
  </si>
  <si>
    <t xml:space="preserve">Medicare_PSPS, Medicare_IFT_Series, Medicare_OD_Matrix, Utilization_Normalized, Acuity_by_Channel, Air_Ambulance_IFT, Dialysis_ESRD_Channel</t>
  </si>
  <si>
    <t xml:space="preserve">The only public origin-to-destination dollar map: volumes, dollars, acuity, and per-beneficiary rates, 2010 to 2024.</t>
  </si>
  <si>
    <t xml:space="preserve">Price and payment</t>
  </si>
  <si>
    <t xml:space="preserve">Payment_Rules, Payer_Rates_Commercial</t>
  </si>
  <si>
    <t xml:space="preserve">What Medicare pays and when it changes; what commercial payers and Medicaid pay, published figures only.</t>
  </si>
  <si>
    <t xml:space="preserve">Supply</t>
  </si>
  <si>
    <t xml:space="preserve">Supplier_Landscape, Supplier_Series_Raw, Supplier_Trend, Workforce_Supply, Supply_Stack</t>
  </si>
  <si>
    <t xml:space="preserve">Who provides transport: a decade of billing organizations, the paid and volunteer workforce, and every measured capacity constraint.</t>
  </si>
  <si>
    <t xml:space="preserve">Market structure</t>
  </si>
  <si>
    <t xml:space="preserve">State_Saturation_Raw, State_Saturation, MSA_Landscape, Imbalance_Ledger</t>
  </si>
  <si>
    <t xml:space="preserve">The state screen, the metro landscape, and demand-over-supply ratios including the whitespace register.</t>
  </si>
  <si>
    <t xml:space="preserve">Client alignment</t>
  </si>
  <si>
    <t xml:space="preserve">Sizing_Playbook, Engagement_Data_Map</t>
  </si>
  <si>
    <t xml:space="preserve">How the team converges on a defensible market number, and which source answers which question, with every awaited input named.</t>
  </si>
  <si>
    <t xml:space="preserve">Costs and reconciliation</t>
  </si>
  <si>
    <t xml:space="preserve">Cost_and_Capacity, MedPAC_2026_Mandated, Cross_Source_Recon</t>
  </si>
  <si>
    <t xml:space="preserve">What a transport costs to produce, and why four national sources give four different counts.</t>
  </si>
  <si>
    <t xml:space="preserve">Reference</t>
  </si>
  <si>
    <t xml:space="preserve">IFT_Alt_Measures, Code_Crosswalks, Dataset_Linkage_Map</t>
  </si>
  <si>
    <t xml:space="preserve">Every alternative counting route, every code system that records a transfer, and every dataset with its join keys.</t>
  </si>
  <si>
    <t xml:space="preserve">Integrity</t>
  </si>
  <si>
    <t xml:space="preserve">Fault_Audit, Data_Quality_Register, Clinical_Volumes_TierC, Excluded_Not_Sourced</t>
  </si>
  <si>
    <t xml:space="preserve">Every known threat to validity, and the quarantine of anything that failed the sourcing rule.</t>
  </si>
  <si>
    <t xml:space="preserve">What this workbook deliberately does not contain</t>
  </si>
  <si>
    <t xml:space="preserve">A single asserted total addressable market figure. A credible TAM requires a commercial transport volume, a Medicare Advantage transport volume, and an acuity-weighted price, and none of the three exists in any public source. A three-scenario TAM MODEL with an explicit assumption register now lives on TAM_Model_National; its outputs are scenario arithmetic under stated gates, never quoted as a single fact. The commercial and MA books are bounded here with published evidence (Payer_Rates_Commercial; the dark-share series on Imbalance_Ledger), and the exact datasets that would complete them are named on Dataset_Linkage_Map with access terms and cost.</t>
  </si>
  <si>
    <t xml:space="preserve">Revision summary</t>
  </si>
  <si>
    <t xml:space="preserve">Revision</t>
  </si>
  <si>
    <t xml:space="preserve">Date</t>
  </si>
  <si>
    <t xml:space="preserve">Contents</t>
  </si>
  <si>
    <t xml:space="preserve">1</t>
  </si>
  <si>
    <t xml:space="preserve">09 July 2026</t>
  </si>
  <si>
    <t xml:space="preserve">Initial evidence base: 20 tabs, facts F01 to F109, sources S01 to S38, findings 1 to 25, all verified against primary documents.</t>
  </si>
  <si>
    <t xml:space="preserve">2</t>
  </si>
  <si>
    <t xml:space="preserve">10 July 2026</t>
  </si>
  <si>
    <t xml:space="preserve">The complete Medicare origin-to-destination dollar map rebuilt from 392,409 raw claim rows (reconciling to the cent), the air and dialysis channels, commercial rates, macro drivers, code crosswalks, and the dataset linkage map. Facts through F135; sources through S58.</t>
  </si>
  <si>
    <t xml:space="preserve">3</t>
  </si>
  <si>
    <t xml:space="preserve">Per-beneficiary normalization, acuity by channel, the supplier landscape, and the payment add-on cliff. Facts through F147; sources through S61.</t>
  </si>
  <si>
    <t xml:space="preserve">4</t>
  </si>
  <si>
    <t xml:space="preserve">The demand and supply stacks, the imbalance ledger with the whitespace register, an eleven-year supplier series, workforce, state saturation, metro landscape, alternative counting routes, and the consolidated fault audit. Facts through F163; sources through S72.</t>
  </si>
  <si>
    <t xml:space="preserve">5</t>
  </si>
  <si>
    <t xml:space="preserve">Final consolidation: the official state-file cross-check (bounding the supplier-file suppression tail at 1.0%), corrections from independent external review, and full internal-consistency verification. Facts through F165; 73 sources; zero formula errors.</t>
  </si>
  <si>
    <t xml:space="preserve">Pending register: named enhancements, none assumed</t>
  </si>
  <si>
    <t xml:space="preserve">P1 HCUPnet condition-level transfer rates (point estimates; standard errors require licensed microdata under the published AHRQ variance method). P2 Ambulance-desert state and county tables. P3 Full ZCTA-to-CBSA crosswalk for complete metro coverage. P4 BLS OEWS state wage files, 2024 to 2025. P5 USRDS prevalent in-center hemodialysis counts by year. P6 NASEMSO 2020 National EMS Assessment. P7 Industry turnover and certification-pipeline measures. P8 Air-sector distress dockets. P9 SNF occupancy from the CMS Provider Information file. P10 PSPS carrier-dimension re-pull for regional origin-destination cuts, using the CMS ZIP-to-carrier-locality and rural or super-rural ZIP files. P11 Rural closure list parsed by state. P12 ECAT eCQM specifications. P13 The NHSN weekly hospital capacity series (mandated reporting resumed November 2024). P14 The CMS ZIP-to-carrier-locality and ambulance rural ZIP files themselves. P15 AHRQ Compendium hospital-to-system linkage joined to the Hospital Service Area File: the free within-system versus cross-system transfer test. P16 Completed with revision 5 (official state file, S73). P17 HCCI commercial ground brief and the Peterson-KFF out-of-network analysis. P18 The Health Affairs boarding series. P19 The published ED interfacility-transfer study and the current MedPAC Payment Basics vintage, whose organization count corroborates the supplier floor and whose transport headline, once pinned, bounds the institutional channel.</t>
  </si>
  <si>
    <t xml:space="preserve">Prepared with a deterministic pipeline: every dataset pull is specified to the endpoint and identifier on the Verification_Log so the entire workbook can be independently reproduced.</t>
  </si>
  <si>
    <t xml:space="preserve">Why every number in this workbook is here, and why the ones that are not are not.</t>
  </si>
  <si>
    <t xml:space="preserve">The question here is simple: why should anyone trust this workbook? This tab is the decision record. It walks through the inclusion rule, why each evidence tab exists, the definitional choices that move the numbers, exactly how the data was pulled so it can be rerun, the rules for comparing figures, the corrections made along the way, and what the workbook still cannot do. Read this first.</t>
  </si>
  <si>
    <t xml:space="preserve">1. The question this workbook answers, and the one it refuses to answer.</t>
  </si>
  <si>
    <t xml:space="preserve">The question. How large is US interfacility transport, who moves, between which settings, at what acuity, paid by whom, and at what price. Every tab answers one slice of that and cites the document that produced it.</t>
  </si>
  <si>
    <t xml:space="preserve">The refusal. This workbook does not size a total addressable market. A TAM requires a commercial-payer volume, a Medicare Advantage volume and an acuity-weighted price, none of which exists in any public source. The initial build carried three such assumptions (a 4.27x gross-up, a 2x to 4x commercial multiple, an acuity mix); all three were moved to Excluded_Not_Sourced and stayed there. revision 2 replaced two of them with published bounds rather than restoring the estimate.</t>
  </si>
  <si>
    <t xml:space="preserve">The consequence you must accept. Some cells on this workbook say the number does not exist. That is the finding. An analyst who needs a TAM must buy data (Dataset_Linkage_Map lists which), not blend a public one.</t>
  </si>
  <si>
    <t xml:space="preserve">2. The inclusion rule, applied without exception.</t>
  </si>
  <si>
    <t xml:space="preserve">Rule</t>
  </si>
  <si>
    <t xml:space="preserve">Why</t>
  </si>
  <si>
    <t xml:space="preserve">What it prevents</t>
  </si>
  <si>
    <t xml:space="preserve">A number enters only if a named publisher document produced it, or an Excel formula computes it from numbers that did.</t>
  </si>
  <si>
    <t xml:space="preserve">Traceability must survive the analyst. Anyone opening a cell sees either a source-pinned constant or the arithmetic that made it.</t>
  </si>
  <si>
    <t xml:space="preserve">Numbers with no parent. The single most common failure in diligence workbooks is a figure that no one can source six weeks later.</t>
  </si>
  <si>
    <t xml:space="preserve">Blue font means hardcoded from a document. Black means a formula. Green means a link to another tab.</t>
  </si>
  <si>
    <t xml:space="preserve">The colour is the audit trail. A reader can see the provenance of a cell without clicking it.</t>
  </si>
  <si>
    <t xml:space="preserve">Hardcoded values masquerading as calculations, and stale pastes of numbers that should have updated.</t>
  </si>
  <si>
    <t xml:space="preserve">Every fact carries a Fact ID (F01-F147), a Tier, a Source ID and a locator down to the table or page.</t>
  </si>
  <si>
    <t xml:space="preserve">Tier separates what was verified against the primary document from what was asserted by an upstream workbook.</t>
  </si>
  <si>
    <t xml:space="preserve">Laundering. An assumption quoted twice does not become evidence.</t>
  </si>
  <si>
    <t xml:space="preserve">Anything labeled ILLUSTRATIVE, FRAMEWORK or INDUSTRY ESTIMATE is quarantined on Excluded_Not_Sourced.</t>
  </si>
  <si>
    <t xml:space="preserve">These labels are how modeled numbers enter a deck and never leave.</t>
  </si>
  <si>
    <t xml:space="preserve">A framework assumption being read off a chart axis as though it were measured.</t>
  </si>
  <si>
    <t xml:space="preserve">Derived figures are labeled DERIVED and show their inputs.</t>
  </si>
  <si>
    <t xml:space="preserve">A ratio of two published numbers is legitimate. A ratio of a published number and a guess is not.</t>
  </si>
  <si>
    <t xml:space="preserve">Same-source, same-year discipline on every multiple (see section 6).</t>
  </si>
  <si>
    <t xml:space="preserve">3. Why each evidence tab exists.</t>
  </si>
  <si>
    <t xml:space="preserve">Tab</t>
  </si>
  <si>
    <t xml:space="preserve">The question it settles</t>
  </si>
  <si>
    <t xml:space="preserve">Why it had to be built</t>
  </si>
  <si>
    <t xml:space="preserve">Primary sources</t>
  </si>
  <si>
    <t xml:space="preserve">Acute_IFT_Series</t>
  </si>
  <si>
    <t xml:space="preserve">How many acute-to-acute transfers happen, from the ED and from inpatient beds.</t>
  </si>
  <si>
    <t xml:space="preserve">HCUP is the only national all-payer census of hospital discharges. Its two origin channels are mutually exclusive and must be added, not averaged.</t>
  </si>
  <si>
    <t xml:space="preserve">S01, S04</t>
  </si>
  <si>
    <t xml:space="preserve">Receiving_Side</t>
  </si>
  <si>
    <t xml:space="preserve">Does the receiving side of the ledger agree with the sending side.</t>
  </si>
  <si>
    <t xml:space="preserve">A transfer has two ends. NIS TRAN_IN counts arrivals independently of DISPUNIFORM departures. Agreement is the workbook internal validity test.</t>
  </si>
  <si>
    <t xml:space="preserve">S04</t>
  </si>
  <si>
    <t xml:space="preserve">EMS_Transports</t>
  </si>
  <si>
    <t xml:space="preserve">How many ambulance legs exist, and what share are interfacility.</t>
  </si>
  <si>
    <t xml:space="preserve">Hospital data counts patients moved; EMS data counts vehicles moving them. The two are different units and neither substitutes for the other.</t>
  </si>
  <si>
    <t xml:space="preserve">S12, S25, S55</t>
  </si>
  <si>
    <t xml:space="preserve">Medicare_PSPS</t>
  </si>
  <si>
    <t xml:space="preserve">What does Medicare fee-for-service actually pay, by acuity and by origin-destination pair.</t>
  </si>
  <si>
    <t xml:space="preserve">It is the only public file that carries dollars, acuity and endpoints on the same row.</t>
  </si>
  <si>
    <t xml:space="preserve">S13, S39</t>
  </si>
  <si>
    <t xml:space="preserve">Medicare_IFT_Series</t>
  </si>
  <si>
    <t xml:space="preserve">Is the Medicare hospital-to-hospital book growing or shrinking.</t>
  </si>
  <si>
    <t xml:space="preserve">No published table contains this series. It was built by pulling fifteen annual PSPS files and filtering the HH modifier.</t>
  </si>
  <si>
    <t xml:space="preserve">S32</t>
  </si>
  <si>
    <t xml:space="preserve">Medicare_OD_Matrix</t>
  </si>
  <si>
    <t xml:space="preserve">Where does the entire Medicare ambulance dollar go, pair by pair.</t>
  </si>
  <si>
    <t xml:space="preserve">revision 1 carried the HH pair only. Building the full matrix revealed that the SNF interface is 2.75x the hospital pair, which reframes the market definition.</t>
  </si>
  <si>
    <t xml:space="preserve">S39</t>
  </si>
  <si>
    <t xml:space="preserve">Utilization_Normalized</t>
  </si>
  <si>
    <t xml:space="preserve">Is the Medicare decline demand or denominator.</t>
  </si>
  <si>
    <t xml:space="preserve">FFS enrollment fell 15.5% over the same window. Without dividing by it, every trend on this workbook overstates decline by roughly a factor of two.</t>
  </si>
  <si>
    <t xml:space="preserve">S39, S60</t>
  </si>
  <si>
    <t xml:space="preserve">Acuity_by_Channel</t>
  </si>
  <si>
    <t xml:space="preserve">Are the interfacility channels one clinical product or several.</t>
  </si>
  <si>
    <t xml:space="preserve">Staffing, unit economics and payer strategy all follow acuity. SNF-to-hospital is 94% emergency; hospital-to-SNF is 99% non-emergency. One name, opposite products.</t>
  </si>
  <si>
    <t xml:space="preserve">Air_Ambulance_IFT</t>
  </si>
  <si>
    <t xml:space="preserve">Where does high-acuity interfacility volume actually sit.</t>
  </si>
  <si>
    <t xml:space="preserve">Rotary-wing is 65.6% hospital-to-hospital and grows per beneficiary while ground shrinks. Ground acuity mix cannot describe it.</t>
  </si>
  <si>
    <t xml:space="preserve">S40, S44</t>
  </si>
  <si>
    <t xml:space="preserve">Dialysis_ESRD_Channel</t>
  </si>
  <si>
    <t xml:space="preserve">What happens to a scheduled-transport book when a payer decides the volume is discretionary.</t>
  </si>
  <si>
    <t xml:space="preserve">The RSNAT rollout is a natural experiment with a date. The claims date-stamp the intervention, which makes it the template for Medicare Advantage behaviour elsewhere.</t>
  </si>
  <si>
    <t xml:space="preserve">S39, S41, S42</t>
  </si>
  <si>
    <t xml:space="preserve">Payment_Rules</t>
  </si>
  <si>
    <t xml:space="preserve">What governs the Medicare price, and when does it change.</t>
  </si>
  <si>
    <t xml:space="preserve">RVUs are frozen since 2002, geographic adjustments since 2008, and the statutory add-ons expire 1 January 2028. The price is legislative, not market.</t>
  </si>
  <si>
    <t xml:space="preserve">S14, S16, S28, S29, S61</t>
  </si>
  <si>
    <t xml:space="preserve">Payer_Rates_Commercial</t>
  </si>
  <si>
    <t xml:space="preserve">What does everyone other than Medicare pay.</t>
  </si>
  <si>
    <t xml:space="preserve">The commercial multiple was the largest excluded assumption in v1. FAIR Health supplies published bounds; GAPB supplies the balance-billing regime.</t>
  </si>
  <si>
    <t xml:space="preserve">S43, S44, S45, S46, S47, S48</t>
  </si>
  <si>
    <t xml:space="preserve">Supplier_Landscape</t>
  </si>
  <si>
    <t xml:space="preserve">Who bills, and how concentrated is the market.</t>
  </si>
  <si>
    <t xml:space="preserve">8,721 NPIs with the largest under 1% of national volume. Any consolidation thesis starts here, and every count is a floor because of small-cell suppression.</t>
  </si>
  <si>
    <t xml:space="preserve">S59</t>
  </si>
  <si>
    <t xml:space="preserve">Cost_and_Capacity</t>
  </si>
  <si>
    <t xml:space="preserve">What does a transport cost to produce.</t>
  </si>
  <si>
    <t xml:space="preserve">GADCS is the only national cost collection, and MedPAC says it cannot yet support a margin. That warning travels with every cost figure.</t>
  </si>
  <si>
    <t xml:space="preserve">S22, S30, S31</t>
  </si>
  <si>
    <t xml:space="preserve">Macro_Demand_Drivers</t>
  </si>
  <si>
    <t xml:space="preserve">What moves demand from outside the hospital.</t>
  </si>
  <si>
    <t xml:space="preserve">Census 65+, Medicare Advantage share, rural closures, coordination infrastructure. Each is a measured series, not a narrative.</t>
  </si>
  <si>
    <t xml:space="preserve">S50, S51, S52, S53, S54, S55</t>
  </si>
  <si>
    <t xml:space="preserve">Code_Crosswalks</t>
  </si>
  <si>
    <t xml:space="preserve">How is one transfer written down in five different systems.</t>
  </si>
  <si>
    <t xml:space="preserve">A transfer is an O-D modifier in claims, a discharge status on a UB-04, a DISP_ED value in HCUP, an eResponse.05 value in NEMSIS. Joining them requires knowing all four.</t>
  </si>
  <si>
    <t xml:space="preserve">S56, S57, S58</t>
  </si>
  <si>
    <t xml:space="preserve">Dataset_Linkage_Map</t>
  </si>
  <si>
    <t xml:space="preserve">What would it take to answer what this workbook cannot.</t>
  </si>
  <si>
    <t xml:space="preserve">It names the join keys, the access terms and the two purchases that close the largest gaps.</t>
  </si>
  <si>
    <t xml:space="preserve">All</t>
  </si>
  <si>
    <t xml:space="preserve">Cross_Source_Recon</t>
  </si>
  <si>
    <t xml:space="preserve">Why do four sources give four different numbers.</t>
  </si>
  <si>
    <t xml:space="preserve">They measure different units on different universes. The wedge is enumerated driver by driver so the spread is explained rather than averaged away.</t>
  </si>
  <si>
    <t xml:space="preserve">S01, S04, S12, S13</t>
  </si>
  <si>
    <t xml:space="preserve">4. Definitional choices that change the answer, and the choice this workbook made.</t>
  </si>
  <si>
    <t xml:space="preserve">Choice</t>
  </si>
  <si>
    <t xml:space="preserve">Options</t>
  </si>
  <si>
    <t xml:space="preserve">What was chosen and why</t>
  </si>
  <si>
    <t xml:space="preserve">What counts as interfacility</t>
  </si>
  <si>
    <t xml:space="preserve">(a) Hospital-to-hospital only. (b) Any facility-to-facility pair. (c) Any non-scene transport.</t>
  </si>
  <si>
    <t xml:space="preserve">(b), reported by pair. Restricting to (a) hides 2.4M SNF-interface transports; (c) sweeps in dialysis and discharge-home legs that behave nothing alike. Every tab reports pairs separately so the reader can pick.</t>
  </si>
  <si>
    <t xml:space="preserve">Ground base codes</t>
  </si>
  <si>
    <t xml:space="preserve">Six codes (A0426-A0429, A0433, A0434) or seven including paramedic intercept A0432.</t>
  </si>
  <si>
    <t xml:space="preserve">Six. A0432 is a rural intercept payment, not a transport (3,312 services in 2024). Stated on Acuity_by_Channel so counts tie.</t>
  </si>
  <si>
    <t xml:space="preserve">Service basis</t>
  </si>
  <si>
    <t xml:space="preserve">PSPS submitted services, or MUP-PHY final-action approved services.</t>
  </si>
  <si>
    <t xml:space="preserve">PSPS for all volumes and dollars; MUP only for supplier counts. The two differ by 1.10x in 2024 and must never be mixed. Data_Quality_Register #34.</t>
  </si>
  <si>
    <t xml:space="preserve">FFS denominator</t>
  </si>
  <si>
    <t xml:space="preserve">Original Medicare any part (33.9M in 2024) or Part A and B both (27.7M).</t>
  </si>
  <si>
    <t xml:space="preserve">A and B, the population that can generate a carrier ambulance claim. The choice moves every per-1,000 rate by about a fifth, so it is stated on the tab and in DQ #35.</t>
  </si>
  <si>
    <t xml:space="preserve">Fractional service counts</t>
  </si>
  <si>
    <t xml:space="preserve">Truncate to integers or sum as floats.</t>
  </si>
  <si>
    <t xml:space="preserve">Sum as floats. PSPS carries decimal service counts on shared services. The revision 1 truncation cost 39 services out of 10.6M. Correction #7.</t>
  </si>
  <si>
    <t xml:space="preserve">Rural closure count</t>
  </si>
  <si>
    <t xml:space="preserve">Sheps 154 since 2010, or Chartis 182.</t>
  </si>
  <si>
    <t xml:space="preserve">Sheps, with the Chartis number recorded beside it and a warning never to mix them. Different conventions on Rural Emergency Hospital conversions. DQ #31.</t>
  </si>
  <si>
    <t xml:space="preserve">Air interfacility inference</t>
  </si>
  <si>
    <t xml:space="preserve">Use O-D modifiers for both rotary and fixed-wing, or rotary only.</t>
  </si>
  <si>
    <t xml:space="preserve">Rotary only. Fixed-wing is 94.6% II (airport to airport), so its modifiers identify runways. DQ #29.</t>
  </si>
  <si>
    <t xml:space="preserve">5. The data pipeline, stated so it can be rerun.</t>
  </si>
  <si>
    <t xml:space="preserve">PSPS. GET https://data.cms.gov/data-api/revision 1/dataset/{uuid}/data?filter[HCPCS_CD]={code}, paginated at 5,000 rows, one call per HCPCS per data year. Fifteen data years, twelve ambulance codes, 392,409 rows. Dataset UUIDs are printed on Verification_Log Panel F. Two schema traps: the PSPS_ field prefix begins with data year 2020 (not 2021), and service counts are decimal.</t>
  </si>
  <si>
    <t xml:space="preserve">MUP-PHY. Same host, filter[HCPCS_Cd]={code}, 2019 and 2024 datasets, eight base codes, 44,614 NPI-by-code rows. Rows with 10 or fewer beneficiaries are suppressed at source, so counts are floors.</t>
  </si>
  <si>
    <t xml:space="preserve">Enrollment. Same host, Medicare Monthly Enrollment, filter[BENE_GEO_LVL]=National and filter[MONTH]=Year, 2013 to 2025.</t>
  </si>
  <si>
    <t xml:space="preserve">Everything else was opened by hand: PDFs downloaded and parsed, HTML read, PubMed queried by PMID, NPPES and the Medicare Coverage Database queried live. Dates of access are on the Source_Index.</t>
  </si>
  <si>
    <t xml:space="preserve">Determinism. No sampling, no imputation, no model. Every figure is a sum, a ratio, or a value copied from a document. The workbook recalculates to zero formula errors across 1,111 formulas.</t>
  </si>
  <si>
    <t xml:space="preserve">6. Rules for comparing numbers, which is where diligence workbooks usually break.</t>
  </si>
  <si>
    <t xml:space="preserve">Same source, same year, or say so. The 5.0x rotary air multiple divides FAIR Health commercial allowed by FAIR Health Medicare allowed, both 2020, both from one white paper. The ground multiple of roughly 1.6x divides FAIR 2020 commercial by a 2024 claims-derived Medicare figure and is therefore labeled CROSS-YEAR AND CROSS-BASIS on its own tab. It is bounding evidence, not a rate card.</t>
  </si>
  <si>
    <t xml:space="preserve">Never add a patient count to a vehicle count. HCUP counts discharges, NEMSIS counts activations, PSPS counts billed services. Cross_Source_Recon enumerates the wedge drivers instead of averaging four incompatible numbers into a fifth wrong one.</t>
  </si>
  <si>
    <t xml:space="preserve">Deflate before you interpret. Any Medicare fee-for-service series read as demand must first be divided by fee-for-service enrollment, which fell 15.5% over 2019 to 2024 (Utilization_Normalized).</t>
  </si>
  <si>
    <t xml:space="preserve">A suppressed cell is a floor, not a zero. CMS masks cells under 11 services in PSPS and under 11 beneficiaries in MUP. Every count in this workbook derived from those files is a floor and says so.</t>
  </si>
  <si>
    <t xml:space="preserve">A confidence interval that does not exist cannot be invented. HCUP weighted summary statistics carry no standard errors. HCUPnet does NOT supply them; they require licensed microdata and the AHRQ variance method (finding confirmed by independent external review, 10 July 2026). Until that route is taken, no HCUP trend in this workbook is called significant.</t>
  </si>
  <si>
    <t xml:space="preserve">7. Corrections made to prior work, kept visible on purpose.</t>
  </si>
  <si>
    <t xml:space="preserve">#</t>
  </si>
  <si>
    <t xml:space="preserve">What was wrong</t>
  </si>
  <si>
    <t xml:space="preserve">What is right</t>
  </si>
  <si>
    <t xml:space="preserve">Where</t>
  </si>
  <si>
    <t xml:space="preserve">CY2024 Ambulance Inflation Factor carried as 3.0%</t>
  </si>
  <si>
    <t xml:space="preserve">2.6%, per the CMS manual and MedPAC</t>
  </si>
  <si>
    <t xml:space="preserve">Medicare FFS ambulance spend as $4.0B in 2023</t>
  </si>
  <si>
    <t xml:space="preserve">$3.9B in 2022 program spending</t>
  </si>
  <si>
    <t xml:space="preserve">GADCS for-profit cost per transport as $1,778</t>
  </si>
  <si>
    <t xml:space="preserve">$1,788</t>
  </si>
  <si>
    <t xml:space="preserve">GADCS mean of $2,673 quoted without its median</t>
  </si>
  <si>
    <t xml:space="preserve">Median is $1,340. The mean is skewed and MedPAC says the data cannot support a margin</t>
  </si>
  <si>
    <t xml:space="preserve">Conversion factor assumed at $278.00</t>
  </si>
  <si>
    <t xml:space="preserve">$272.44, CY2024, published</t>
  </si>
  <si>
    <t xml:space="preserve">6</t>
  </si>
  <si>
    <t xml:space="preserve">2007 NIS total omitted 16,542 records</t>
  </si>
  <si>
    <t xml:space="preserve">Restated</t>
  </si>
  <si>
    <t xml:space="preserve">7</t>
  </si>
  <si>
    <t xml:space="preserve">PSPS service counts truncated to integers</t>
  </si>
  <si>
    <t xml:space="preserve">Decimal counts summed as floats. 871,753 becomes 871,756 on the 2024 HH base set</t>
  </si>
  <si>
    <t xml:space="preserve">8</t>
  </si>
  <si>
    <t xml:space="preserve">PSPS_ field prefix said to begin in 2021</t>
  </si>
  <si>
    <t xml:space="preserve">It begins with data year 2020</t>
  </si>
  <si>
    <t xml:space="preserve">Verification_Log</t>
  </si>
  <si>
    <t xml:space="preserve">9</t>
  </si>
  <si>
    <t xml:space="preserve">Two draft read-notes overstated their own findings</t>
  </si>
  <si>
    <t xml:space="preserve">Corrected against computed values before release: HH per-capita decline is 8.0% (not flat) and the HH emergency-share shift is 2.4 points (not 5.0)</t>
  </si>
  <si>
    <t xml:space="preserve">Verification_Log Panel G</t>
  </si>
  <si>
    <t xml:space="preserve">8. What this workbook still cannot do, and what would fix it.</t>
  </si>
  <si>
    <t xml:space="preserve">Gap</t>
  </si>
  <si>
    <t xml:space="preserve">Why it exists</t>
  </si>
  <si>
    <t xml:space="preserve">The fix</t>
  </si>
  <si>
    <t xml:space="preserve">Cost</t>
  </si>
  <si>
    <t xml:space="preserve">No confidence interval on any HCUP trend</t>
  </si>
  <si>
    <t xml:space="preserve">Weighted summary statistics ship without standard errors</t>
  </si>
  <si>
    <t xml:space="preserve">License NEDS or NIS microdata and apply AHRQ Methods 2015_09; HCUPnet is point estimates only</t>
  </si>
  <si>
    <t xml:space="preserve">Purchase plus DUA</t>
  </si>
  <si>
    <t xml:space="preserve">No hospital-pair transfer flows</t>
  </si>
  <si>
    <t xml:space="preserve">National HCUP files mask hospital identity</t>
  </si>
  <si>
    <t xml:space="preserve">Purchase one state SID/SEDD with hospital IDs</t>
  </si>
  <si>
    <t xml:space="preserve">Low four figures per state</t>
  </si>
  <si>
    <t xml:space="preserve">No corporate ownership roll-up</t>
  </si>
  <si>
    <t xml:space="preserve">An NPI is not a parent company</t>
  </si>
  <si>
    <t xml:space="preserve">Build the PECOS reassignment and ownership graph</t>
  </si>
  <si>
    <t xml:space="preserve">Free, engineering time</t>
  </si>
  <si>
    <t xml:space="preserve">No real commercial rate card</t>
  </si>
  <si>
    <t xml:space="preserve">FAIR Health publishes averages, not rates</t>
  </si>
  <si>
    <t xml:space="preserve">Parse Transparency in Coverage machine-readable files for A042x by NPI</t>
  </si>
  <si>
    <t xml:space="preserve">Free, heavy compute</t>
  </si>
  <si>
    <t xml:space="preserve">No Medicare Advantage transport volume</t>
  </si>
  <si>
    <t xml:space="preserve">MA encounter data is not public</t>
  </si>
  <si>
    <t xml:space="preserve">Encounter data via ResDAC DUA, or a licensed claims panel</t>
  </si>
  <si>
    <t xml:space="preserve">Months, or paid</t>
  </si>
  <si>
    <t xml:space="preserve">No activation-level IFT flag nationally</t>
  </si>
  <si>
    <t xml:space="preserve">NEMSIS public reports are aggregated</t>
  </si>
  <si>
    <t xml:space="preserve">Request the NEMSIS research dataset</t>
  </si>
  <si>
    <t xml:space="preserve">Free, paperwork</t>
  </si>
  <si>
    <t xml:space="preserve">No 2025 EMS data</t>
  </si>
  <si>
    <t xml:space="preserve">The NEMSIS 2025 annual report is not published</t>
  </si>
  <si>
    <t xml:space="preserve">Expected around August 2026</t>
  </si>
  <si>
    <t xml:space="preserve">Wait</t>
  </si>
  <si>
    <t xml:space="preserve">No Medicare ambulance margin</t>
  </si>
  <si>
    <t xml:space="preserve">MedPAC found GADCS reporting errors severe enough to disqualify it</t>
  </si>
  <si>
    <t xml:space="preserve">MedPAC Recommendation 6 asks Congress to keep collecting, streamlined</t>
  </si>
  <si>
    <t xml:space="preserve">Years</t>
  </si>
  <si>
    <t xml:space="preserve">What the merged evidence actually supports</t>
  </si>
  <si>
    <t xml:space="preserve">The question: out of everything measured here, what actually matters to a decision? These are the 41 findings, each resting on a published count or arithmetic over published counts, each with its sources, its confidence, and, most importantly, the interpretation guardrail each one carries.</t>
  </si>
  <si>
    <t xml:space="preserve">Finding</t>
  </si>
  <si>
    <t xml:space="preserve">The numbers</t>
  </si>
  <si>
    <t xml:space="preserve">Sources</t>
  </si>
  <si>
    <t xml:space="preserve">Confidence</t>
  </si>
  <si>
    <t xml:space="preserve">Interpretation guardrail</t>
  </si>
  <si>
    <t xml:space="preserve">The IFT market is roughly 3 million acute-to-acute transfer episodes a year, and that level is stable.</t>
  </si>
  <si>
    <t xml:space="preserve">2,929,273 episodes in 2022. Mean of 2019 to 2023 is 3,061,156, sample standard deviation 139,226. The five-year range runs 2,929,273 (2022) to 3,234,266 (2019).</t>
  </si>
  <si>
    <t xml:space="preserve">High</t>
  </si>
  <si>
    <t xml:space="preserve">Never quote a single year as the level. The COVID years sit inside the band.</t>
  </si>
  <si>
    <t xml:space="preserve">Interfacility transfer is about 9.3% of US community hospital inpatient admissions, and the level is stable at that number.</t>
  </si>
  <si>
    <t xml:space="preserve">9.28% in 2022. Mean 9.49% across 2019 to 2023, band 9.24% (2021) to 9.85% (2023), sample standard deviation 0.24 points.</t>
  </si>
  <si>
    <t xml:space="preserve">S01, S04, S05-S11</t>
  </si>
  <si>
    <t xml:space="preserve">The number is denominator-dependent to plus or minus 0.8 points. Disclose which denominator you used.</t>
  </si>
  <si>
    <t xml:space="preserve">The famous near-doubling of the IFT ratio is a channel mix shift, not the market exploding.</t>
  </si>
  <si>
    <t xml:space="preserve">The ED-origin channel went from 3.85% of admissions in 2007 to 7.33% in 2022, a 90.5% relative gain. On the COMPLETE build (ED-origin plus inpatient-origin) the same ratio grew only +1.09% per year from 2012 to 2022, and total acute-to-acute episodes grew +0.86% per year from 2012 to 2023.</t>
  </si>
  <si>
    <t xml:space="preserve">Never present the 90.5% figure as market growth. It is the ED channel only.</t>
  </si>
  <si>
    <t xml:space="preserve">Transfers migrated out of the inpatient bed and into the ED.</t>
  </si>
  <si>
    <t xml:space="preserve">ED-origin share of acute-to-acute episodes: 74.4% (2012), 78.9% (2022), 80.2% (2023). Inpatient-origin episodes fell at -1.48% per year while ED-origin episodes grew at +1.55% per year, 2012 to 2023.</t>
  </si>
  <si>
    <t xml:space="preserve">This is the single clearest structural trend in the data. It is also why an ED-only measurement overstates growth.</t>
  </si>
  <si>
    <t xml:space="preserve">IFT is counter-cyclical to hospital admissions. Volume grows while the denominator shrinks.</t>
  </si>
  <si>
    <t xml:space="preserve">Total acute-to-acute episodes +0.86% per year, 2012 to 2023. AHA community hospital admissions -0.67% per year over the same window. NIS discharges -0.71% per year. The complete-build ratio therefore compounds at +1.54% per year, of which 56% is numerator growth and 44% is denominator shrinkage.</t>
  </si>
  <si>
    <t xml:space="preserve">The often-quoted split of four fifths numerator and one fifth denominator applies only to the ED channel over 2007 to 2022, where transfer volume compounded at +3.48% against admissions at -0.87%. Never carry it onto the complete build.</t>
  </si>
  <si>
    <t xml:space="preserve">Carrier-billed Medicare interfacility work is low-acuity scheduled transport. It is not critical care.</t>
  </si>
  <si>
    <t xml:space="preserve">Of 871,753 Medicare FFS hospital-to-hospital transports in 2024: non-emergency BLS 38.8% and non-emergency ALS1 23.5%, together 62.3% of transports. Specialty Care Transport is 6.6% of transports. Weighted by actual allowed dollars, SCT is 15.6% of base-rate revenue and non-emergency BLS and ALS1 are 46.1%. The volume-weighted RVU of the book is 1.45, not 3.25.</t>
  </si>
  <si>
    <t xml:space="preserve">S13, S14, S28</t>
  </si>
  <si>
    <t xml:space="preserve">High for carrier-billed Medicare FFS. Unknown elsewhere.</t>
  </si>
  <si>
    <t xml:space="preserve">Scope it carefully. PSPS is carrier claims only, so hospital-owned ambulance departments, the ones most likely to run critical-care crews, are structurally absent, and Medicare Advantage is entirely absent. It says nothing about the commercial book. What it does kill is the excluded 56.4% high-acuity assumption applied to a Medicare-weighted book. Price weighting narrows the gap between volume and revenue mix. It does not close it.</t>
  </si>
  <si>
    <t xml:space="preserve">Interfacility is gaining share of a shrinking Medicare fee-for-service book, but the book itself peaked in 2017.</t>
  </si>
  <si>
    <t xml:space="preserve">Medicare FFS hospital-to-hospital transports grew from 825,178 (2022) to 871,753 (2024), +2.78% per year, while all origin-destination-coded Medicare FFS ambulance volume fell -2.80% per year. Over fifteen years, however, the interfacility book peaked at 1,139,524 transports in 2017 and is now 23.5% smaller.</t>
  </si>
  <si>
    <t xml:space="preserve">S13</t>
  </si>
  <si>
    <t xml:space="preserve">Read the 2022 to 2024 rate as recovery off the COVID trough, NOT as trend. The 2017 to 2024 CAGR is -3.75% per year. Medicare Advantage enrolment crossing half of all beneficiaries is the dominant driver of the fee-for-service decline, not a fall in interfacility demand.</t>
  </si>
  <si>
    <t xml:space="preserve">Three different objects are routinely conflated, and the factor between them is 1.7 to 1.9.</t>
  </si>
  <si>
    <t xml:space="preserve">2022 sending-side episodes 2,929,273. 2022 receiving-side transfer admissions 2,205,490. 2024 hospital-to-hospital ambulance transports 5,510,664. 2024 all facility-to-facility transports 7,512,656.</t>
  </si>
  <si>
    <t xml:space="preserve">S01, S04, S12</t>
  </si>
  <si>
    <t xml:space="preserve">This is the largest source of error in the published IFT literature, larger than sampling, coding and denominator error combined.</t>
  </si>
  <si>
    <t xml:space="preserve">About three quarters of transfers sent arrive as an inpatient admission at a receiving acute hospital.</t>
  </si>
  <si>
    <t xml:space="preserve">Conversion rate 75.3% in 2022, 77.4% in 2023. The residual went to a psychiatric, rehabilitation or LTACH hospital (all outside the NIS universe), was treated and released at the receiving ED, was placed in observation, or was not coded as a transfer in.</t>
  </si>
  <si>
    <t xml:space="preserve">The receiving-side measurement is independent: a different UB-04 field, a different hospital, a different clerk. It confirms the sending-side count.</t>
  </si>
  <si>
    <t xml:space="preserve">Medicare fee-for-service sees only about one sixth of national interfacility transport.</t>
  </si>
  <si>
    <t xml:space="preserve">871,753 Medicare FFS hospital-to-hospital transports in 2024, against 5,510,664 hospital-to-hospital transports reported by NEMSIS, or 15.8%.</t>
  </si>
  <si>
    <t xml:space="preserve">S12, S13</t>
  </si>
  <si>
    <t xml:space="preserve">Moderate-High</t>
  </si>
  <si>
    <t xml:space="preserve">A floor, twice over. Hospital-owned ambulance departments bill institutionally and never enter PSPS. NEMSIS is a voluntary census and is itself a floor.</t>
  </si>
  <si>
    <t xml:space="preserve">The government cost benchmark that circulates is a mean. The median is half of it, and that changes the conclusion.</t>
  </si>
  <si>
    <t xml:space="preserve">GADCS mean cost per transport is $2,673 all-in. The MEDIAN is $1,340. For-profit organizations: mean $1,788, median $610. Government: mean $3,127, median $1,859. Very-high-volume organizations: mean $946. Labor is 69.4% of the $27.2 billion aggregated cost base. Cost per RVU is $1,624 mean and $811 median, against Medicare allowed of about $253 per RVU.</t>
  </si>
  <si>
    <t xml:space="preserve">S30</t>
  </si>
  <si>
    <t xml:space="preserve">The mean is dragged up by thousands of tiny low-volume organizations (mean $3,652). Quote the median for a scaled platform. The excluded market study's modeled net revenue of $1,200 to $1,400 per transport sits just below the $1,340 median, not far below a $2,673 mean. The correct statement is that the fee schedule does not cover cost and scale is the entire game.</t>
  </si>
  <si>
    <t xml:space="preserve">Reimbursement inflation is government-set, productivity-lagged, and volatile.</t>
  </si>
  <si>
    <t xml:space="preserve">Verified AIF: 0.9% (2020), 0.2% (2021), 5.1% (2022), 8.7% (2023), 2.6% (2024), 2.4% (2025), 2.0% (2026). Seven-year average 3.1%, trailing three-year average 2.3%, sample standard deviation 2.9 points. Statutory add-ons of +2% urban, +3% rural and +22.6% super-rural sit on the base rate and require repeated legislative extension.</t>
  </si>
  <si>
    <t xml:space="preserve">S15, S16</t>
  </si>
  <si>
    <t xml:space="preserve">The source workbook carried CY2024 at 3.0%. The CMS manual and MedPAC both print 2.6%. The 8.7% in 2023 is the post-COVID CPI peak. The AIF is CPI-U less a total factor productivity adjustment, so it structurally under-runs paramedic wage inflation.</t>
  </si>
  <si>
    <t xml:space="preserve">NEMSIS cannot be used for levels, and the size of its undercount is now measurable.</t>
  </si>
  <si>
    <t xml:space="preserve">EMS transports to a hospital ED as a share of NEDS weighted US ED visits: 11.3% (2019, 47 states), 16.0% (2020, 50), 17.4% (2021, 50), 17.5% (2022, 54). The independent NHAMCS 2016 ambulance-arrival share is 16.2%. The 2023 value of 14.7% falls with no coverage change and is a NEMSIS defect.</t>
  </si>
  <si>
    <t xml:space="preserve">S12, S02, S03, S25</t>
  </si>
  <si>
    <t xml:space="preserve">Use NEMSIS for mix, clinical composition and direction. Use HCUP for levels, payer and anything needing a confidence interval. Never use 2019 or 2020 NEMSIS levels for national sizing.</t>
  </si>
  <si>
    <t xml:space="preserve">The Medicare interfacility book now has real dollars attached, straight from the claims.</t>
  </si>
  <si>
    <t xml:space="preserve">Medicare FFS carrier-billed hospital-to-hospital ambulance, 2024: $319.8M base-rate allowed plus $257.4M mileage allowed equals $577.2M total allowed, on 871,753 transports. That is $662 allowed per transport. Total allowed grew at +8.7% per year from 2022 while transports grew at +2.8%. Mileage is 44.6% of the dollars.</t>
  </si>
  <si>
    <t xml:space="preserve">S13, S28</t>
  </si>
  <si>
    <t xml:space="preserve">High, within its stated scope</t>
  </si>
  <si>
    <t xml:space="preserve">One payer, carrier claims only, submitted services, suppression floor of about 2.5%. It is not a TAM. It is the only dollar figure in this workbook that rests on zero assumptions, and it is the correct place to start building one. Every TAM, SAM and SOM in the source market study was labeled ILLUSTRATIVE by its own author.</t>
  </si>
  <si>
    <t xml:space="preserve">The statute explains the wedge between transport counts and transfer counts.</t>
  </si>
  <si>
    <t xml:space="preserve">Ambulance transports occurring during a Medicare Part A stay in an inpatient hospital or SNF are generally bundled into the Part A payment and generate no separate Part B claim. Exceptions are named and narrow: SNF to hospital for emergency or intensive outpatient services and back, SNF to dialysis and back, transports between two separate Part A stays, and transports preceding a Part A stay.</t>
  </si>
  <si>
    <t xml:space="preserve">S28</t>
  </si>
  <si>
    <t xml:space="preserve">This is why an out-and-back transport during one inpatient stay produces two billable-looking ambulance legs and zero HCUP transfer records, and it is a structural reason claims-based sizing undercounts interfacility volume. It also means the return-leg wedge driver is statute, not speculation.</t>
  </si>
  <si>
    <t xml:space="preserve">Mileage is half the revenue and nobody models it.</t>
  </si>
  <si>
    <t xml:space="preserve">Medicare hospital-to-hospital transports run 33.6 loaded miles each, against roughly a third of that for a typical 911 scene run. Mileage allowed charges were $257.4M in 2024 against $319.8M of base rate, or 44.6% of total allowed dollars. Allowed per loaded mile is $8.79, against the published CY2024 rate of $8.76.</t>
  </si>
  <si>
    <t xml:space="preserve">A unit-economics model priced only on the base rate misses 45% of the Medicare revenue on an interfacility transport. The $8.79 against $8.76 is also an independent confirmation that the claims extraction and the published fee schedule agree.</t>
  </si>
  <si>
    <t xml:space="preserve">MedPAC's two ambulance spend figures do not reconcile cleanly, and an earlier version of this workbook wrongly said they did.</t>
  </si>
  <si>
    <t xml:space="preserve">MedPAC Payment Basics reports $3.9B of program spending in 2022, excluding beneficiary cost sharing. MedPAC's June 2026 mandated report reports $5.3B of total Medicare payments for AFS-covered transports in 2024, on 11.3 million transports. Rebuilt from raw claims: carrier-billed ground program payments were $3.72B (2022) and $3.96B (2024); adding air ambulance takes 2022 to $4.20B, which is ABOVE MedPAC's $3.9B.</t>
  </si>
  <si>
    <t xml:space="preserve">S13, S28, S31</t>
  </si>
  <si>
    <t xml:space="preserve">So the $3.9B cannot be all-ambulance program spending on the same basis. Neither MedPAC document states the scope of its measure. The $5.3B figure does sit between the claims-derived program payment of $4.47B and allowed charges of $5.71B. Quote each figure with its own label. Never combine them. See Medicare_PSPS Panel G.</t>
  </si>
  <si>
    <t xml:space="preserve">The Medicare interfacility book peaked in 2017 and has shrunk by nearly a quarter since.</t>
  </si>
  <si>
    <t xml:space="preserve">Carrier-billed Medicare FFS hospital-to-hospital transports: 937,317 (2010), rising to a peak of 1,139,524 (2017), falling to 825,178 (2022), recovering to 871,753 (2024). CAGR +2.83% per year 2010 to 2017, then -3.75% per year 2017 to 2024. Total allowed charges grew +1.38% per year across the full fifteen years while transports fell -0.52% per year.</t>
  </si>
  <si>
    <t xml:space="preserve">High for Medicare FFS</t>
  </si>
  <si>
    <t xml:space="preserve">The +2.78% per year figure for 2022 to 2024, which this workbook itself reports, is a trough recovery. Never annualise it forward. Nothing here says national interfacility demand fell; it says the Medicare fee-for-service window onto it narrowed.</t>
  </si>
  <si>
    <t xml:space="preserve">The Medicare interfacility acuity mix has not moved in fifteen years. There is no acuity escalation to underwrite.</t>
  </si>
  <si>
    <t xml:space="preserve">Specialty Care Transport share of hospital-to-hospital transports ranged between 6.5% and 7.4% in every year from 2010 to 2024. Non-emergency BLS went from 38.5% to 38.8%. The volume-weighted RVU of the book went from 1.472 to 1.450, a move of 1.5% over fifteen years.</t>
  </si>
  <si>
    <t xml:space="preserve">S13, S14</t>
  </si>
  <si>
    <t xml:space="preserve">The 'interfacility is moving up the acuity curve' thesis has no support anywhere in the Medicare fee-for-service data, and it never did. Any evidence for it must come from the commercial book, which no source in this workbook measures. MedPAC independently reports an average RVU of about 1.6 across ALL Medicare ambulance transports, so interfacility is LESS intense than the average ambulance run, not more.</t>
  </si>
  <si>
    <t xml:space="preserve">Cost per transport is driven by scale, not by geography. MedPAC proves it with its own data.</t>
  </si>
  <si>
    <t xml:space="preserve">MedPAC Table 6-6: mean cost per transport falls from $2,878 in the lowest transport-volume quartile (mean 148 transports a year) to $918 in the highest (15,291), while average RVU per transport falls only 5%. Rural cost per transport ($997) is BELOW urban ($1,018). For-profit organizations cost $563 against government at $1,626. Dynamic staffing costs $636 against static at $1,524.</t>
  </si>
  <si>
    <t xml:space="preserve">S31</t>
  </si>
  <si>
    <t xml:space="preserve">The apparent rural cost premium is a volume artefact. MedPAC states that controlling for volume, rural organizations have LOWER cost per transport than urban ones. The 68% cost gap between the lowest and highest volume quartiles is scale, not case mix, because service intensity barely moves.</t>
  </si>
  <si>
    <t xml:space="preserve">MedPAC will not use the GADCS data to judge Medicare payment adequacy. Neither should anyone else.</t>
  </si>
  <si>
    <t xml:space="preserve">MedPAC found reporting errors severe enough that 52% of the revenue reported by government-owned organizations came from sources unrelated to ground ambulance billing. Its revenue-to-cost ratios are explicitly not Medicare margins: revenue includes non-Medicare sources and cost covers all patients. Median weighted RCR is 1.11 for-profit, 1.02 nonprofit, 0.98 government; 0.77 for the lowest volume quartile against 1.10 for the highest.</t>
  </si>
  <si>
    <t xml:space="preserve">No Medicare ambulance margin can be computed from GADCS today. MedPAC says so. Separately: the Ambulance Fee Schedule was set in 2002 by negotiated rulemaking, its service-intensity RVUs have not changed since 2002, and its urban, rural and super-rural adjustments have not changed since 2008. Recommendation 6 asks Congress to keep collecting the data, streamlined.</t>
  </si>
  <si>
    <t xml:space="preserve">CMS measures interfacility transfer delay directly, and transfer patients are the slowest-moving population in the American emergency department.</t>
  </si>
  <si>
    <t xml:space="preserve">OP-18d, the median time an ED patient spends before being transferred to another facility, is 287 minutes nationally: 4 hours and 47 minutes. Discharged patients (OP-18b) leave in 161 minutes and psychiatric patients (OP-18c) in 259. Transfer patients therefore carry a 126-minute penalty, 78% above a discharged patient. Across 2,340 reporting hospitals the median is 294 minutes, the 90th percentile is 443, and 6.5% exceed eight hours.</t>
  </si>
  <si>
    <t xml:space="preserve">S33</t>
  </si>
  <si>
    <t xml:space="preserve">The top-decile hospital moves a transfer patient out in 187 minutes. One hundred minutes of the national median delay is demonstrably addressable, which is where operator value sits. State medians span 170 to 649 minutes, a 3.8x spread.</t>
  </si>
  <si>
    <t xml:space="preserve">Consolidation, not demand, is reshaping the sending side. Independent hospitals are the ones disappearing.</t>
  </si>
  <si>
    <t xml:space="preserve">Between AHA survey years 2018 and 2024 the United States lost 77 community hospitals and gained 76 system-affiliated ones. Independent community hospitals fell from 1,707 to 1,554, a 9.0% decline. Staffed community beds fell 2.2%. System share of community hospitals rose from 67.2% to 69.7%.</t>
  </si>
  <si>
    <t xml:space="preserve">S05, S11, S34</t>
  </si>
  <si>
    <t xml:space="preserve">AHA's definition of a system is broad enough that a single hospital qualifies by acquiring three post-acute organisations, so this is an upper bound on multi-hospital affiliation. It says nothing about specialisation within systems, which no public national source measures.</t>
  </si>
  <si>
    <t xml:space="preserve">Travel time is a measured, quantified driver of interfacility transfer. Specialisation is not.</t>
  </si>
  <si>
    <t xml:space="preserve">In 190,311 adults presenting to a Florida or California emergency department with one of five emergency general surgery conditions in 2021, a travel time of 60 minutes or more raised the adjusted odds of interfacility transfer to 1.32 (95% CI 1.15 to 1.51), of inpatient admission to 1.41, and added an adjusted $8,284 in charges. Above 120 minutes the odds of a complex presentation rose to 1.28.</t>
  </si>
  <si>
    <t xml:space="preserve">S35</t>
  </si>
  <si>
    <t xml:space="preserve">Strong, external</t>
  </si>
  <si>
    <t xml:space="preserve">This is the single best-quantified demand mechanism available. By contrast, the claim that system hospitals are increasingly specialising is plausible, widely repeated, and NOT measured by any public national source in this evidence base. Never assert it as fact.</t>
  </si>
  <si>
    <t xml:space="preserve">The naive link between transfer delay and patient harm runs backwards, because the sickest patients move fastest.</t>
  </si>
  <si>
    <t xml:space="preserve">In 1,535 elderly blunt-trauma interfacility transfers, SHORTER emergency department dwell time was associated with higher injury severity, lower Glasgow Coma Scale and higher mortality. In 5,859 ED-ICU patients, ED length of stay showed no significant association with mortality after adjustment. A systematic review of 34 studies covering 2.3 million patients found variable and heterogeneous associations between ED length of stay and outcomes.</t>
  </si>
  <si>
    <t xml:space="preserve">S36, S37, S38</t>
  </si>
  <si>
    <t xml:space="preserve">Contested. State it honestly.</t>
  </si>
  <si>
    <t xml:space="preserve">Never use dwell time as an outcome proxy without adjusting for acuity: the correlation has the wrong sign. The case for faster transfer rests on throughput, capacity and cost, not on a clean mortality effect. Any deck that claims boarding kills, and cites raw dwell-time correlations, is wrong on the evidence.</t>
  </si>
  <si>
    <t xml:space="preserve">Every single-year change under about 3% in relative terms sits inside the combined coding and sampling noise. That covers the ratio declines in 2013, 2014, 2015, 2017, 2018, 2021 and 2022.</t>
  </si>
  <si>
    <t xml:space="preserve">Verification. Every underlying value was checked against its primary document on 09 July 2026. 233 values checked, 228 matched exactly. Six corrections, one of which corrects an earlier claim in this workbook.</t>
  </si>
  <si>
    <t xml:space="preserve">Confidence is stated against the counts as AHRQ, NHTSA, CMS, RAND, MedPAC and AHA published them. What remains unverifiable is AHRQ's weighting, which is calibrated to the non-public AHA hospital-level survey.</t>
  </si>
  <si>
    <t xml:space="preserve">No confidence interval can be attached to any HCUP volume CAGR. AHRQ publishes no standard errors. The +0.86% per year total-episode CAGR is not demonstrably different from zero on this evidence.</t>
  </si>
  <si>
    <t xml:space="preserve">Peer-reviewed evidence was retrieved from PubMed on 09 July 2026 and every claim carries its digital object identifier so it can be checked at source.</t>
  </si>
  <si>
    <t xml:space="preserve">Findings 26 to 31, revision 2 (10 July 2026). Same rule: every one rests on a published count or arithmetic over published counts.</t>
  </si>
  <si>
    <t xml:space="preserve">The dialysis ambulance channel collapsed by policy design, and the claims date-stamp it.</t>
  </si>
  <si>
    <t xml:space="preserve">Dialysis-touching O-D pairs: 2,332,855 transports (2019) to 857,750 (2024), minus 63.2%, against minus 25.6% for the whole O-D coded book. Largest single-year drop, minus 34.2%, lands in 2022, the RSNAT national rollout year. Evaluation: minus 61% use, minus 77% RSNAT spend, quality held except a 19% relative rise in emergency dialysis.</t>
  </si>
  <si>
    <t xml:space="preserve">Never read the dialysis collapse as demand loss, and do not let it contaminate the H2H trend, which GREW 2022 to 2024. It is also the template for what payer prior authorization does to any scheduled-transport book.</t>
  </si>
  <si>
    <t xml:space="preserve">Air is the high-acuity interfacility book that ground never was.</t>
  </si>
  <si>
    <t xml:space="preserve">Rotary-wing Medicare transports are 65.6% hospital-to-hospital in 2024; rotary HH volume grew 34,856 to 43,683 (2010 to 2024, +25%) while ground HH fell 7%. Fixed-wing is 94.6% transfer-point-to-transfer-point: airport-coded, endpoint-blind.</t>
  </si>
  <si>
    <t xml:space="preserve">S40</t>
  </si>
  <si>
    <t xml:space="preserve">High for Medicare FFS carrier claims</t>
  </si>
  <si>
    <t xml:space="preserve">Never use ground acuity mix to describe air. Never use fixed-wing O-D modifiers for anything.</t>
  </si>
  <si>
    <t xml:space="preserve">The SNF interface, not the hospital pair, is the largest facility-to-facility channel.</t>
  </si>
  <si>
    <t xml:space="preserve">NH plus HN carried 2,398,253 Medicare FFS transports in 2024, 2.75 times the HH book of 871,753, and NH (SNF to hospital) is GROWING at +3.6% per year 2022 to 2024 while HN shrinks.</t>
  </si>
  <si>
    <t xml:space="preserve">S39, S13</t>
  </si>
  <si>
    <t xml:space="preserve">An interfacility thesis scoped to hospital-to-hospital only ignores the majority of the facility-to-facility dollar. Part A bundling (Finding 15) governs which SNF legs are separately billable.</t>
  </si>
  <si>
    <t xml:space="preserve">Commercial pays multiples of Medicare, and the wedge is measured, not assumed.</t>
  </si>
  <si>
    <t xml:space="preserve">Rotary air: commercial allowed $18,668 against Medicare $3,739, same source, same year (2020): 5.0x. Ground ALS-emergency commercial allowed rose 56% in three years ($486 to $758, 2017 to 2020) while Medicare rose 4.8%. State ALS-E allowed spans $836 (IL) to $1,461 (CA) in 2022.</t>
  </si>
  <si>
    <t xml:space="preserve">S43, S44, S45</t>
  </si>
  <si>
    <t xml:space="preserve">High within FAIR Health scope (private claim lines; excludes Medicare FFS and Medicaid)</t>
  </si>
  <si>
    <t xml:space="preserve">The excluded 2x to 4x assumption (Excluded_Not_Sourced #20) is retired in favor of these published bounds. Never blend payers into one rate.</t>
  </si>
  <si>
    <t xml:space="preserve">The external ambulance-arrival anchor is now 17.0%, carries a standard error, and is frozen forever.</t>
  </si>
  <si>
    <t xml:space="preserve">NHAMCS 2022, the final vintage of the survey: ambulance arrival 17.0% (SE 0.9) of 155,398,000 ED visits; 33.4% at 65 and over; 39.6% at 75 and over. NEMSIS 2022 coverage of EMS-to-ED transport (17.5% of NEDS visits) sits inside the 95% interval.</t>
  </si>
  <si>
    <t xml:space="preserve">S55, S12, S02</t>
  </si>
  <si>
    <t xml:space="preserve">At full participation NEMSIS is not a material undercount of EMS-to-ED transport. The anchor cannot be refreshed: NHAMCS ended with 2022.</t>
  </si>
  <si>
    <t xml:space="preserve">Coordination moves transfer volume on a measured scale, and no local coverage discretion stands in the way.</t>
  </si>
  <si>
    <t xml:space="preserve">Statewide transfer coordination centers were associated with an immediate 35% rise in interhospital transfer rates (RR 1.35, 95% CI 1.05 to 1.74) across 441,709 transfers in eight states. The Medicare Coverage Database holds zero active ambulance LCDs; coverage is national regulation.</t>
  </si>
  <si>
    <t xml:space="preserve">S54, S56</t>
  </si>
  <si>
    <t xml:space="preserve">Strong, external, pandemic-period</t>
  </si>
  <si>
    <t xml:space="preserve">Never treat throughput as fixed: the 287-minute median delay (Finding 22) responds to coordination infrastructure. Never hunt for MAC-level ambulance coverage risk; there is none to find.</t>
  </si>
  <si>
    <t xml:space="preserve">Findings 32 to 35, revision 3 (10 July 2026).</t>
  </si>
  <si>
    <t xml:space="preserve">Half the Medicare decline is the denominator, not demand.</t>
  </si>
  <si>
    <t xml:space="preserve">A and B fee-for-service enrollment fell 15.5% (32.8M to 27.7M, 2019 to 2024). Per 1,000 beneficiaries, the whole O-D book fell 11.9% (against 25.6% raw) and HH fell 8.0% (against 22.3% raw). The dialysis collapse survives normalization at minus 56.5%. FFS enrollment ROSE in 2025 for the first time in the series.</t>
  </si>
  <si>
    <t xml:space="preserve">Never quote a raw PSPS trend as a demand trend. Divide by enrollment first or the comparison should be omitted.</t>
  </si>
  <si>
    <t xml:space="preserve">Interfacility is at least three clinical products wearing one name.</t>
  </si>
  <si>
    <t xml:space="preserve">SNF-to-hospital is 94% emergency-coded; hospital-to-SNF is 98% BLS non-emergency; hospital-to-hospital is 62% non-emergency with SCT at 6.6%; dialysis is 96% BLS non-emergency. The HH emergency share rose 2.4 points 2019 to 2024 as payers stripped scheduled volume.</t>
  </si>
  <si>
    <t xml:space="preserve">No single staffing model, unit economics, or payer strategy covers the IFT book. Segment by channel and direction or the analysis is wrong on arrival.</t>
  </si>
  <si>
    <t xml:space="preserve">The supplier base is radically fragmented and consolidating slowly.</t>
  </si>
  <si>
    <t xml:space="preserve">8,721 billing NPIs in 2024 (floor; MUP suppression). Largest NPI under 1% of national services; top 10 hold 6.2%; top 100 hold 24.6% (up from 21.9% in 2019). Median NPI bills 279 Medicare transports a year. BLS non-emergency billers fell 12.7%; air billers grew.</t>
  </si>
  <si>
    <t xml:space="preserve">High for the floor; NPI-level only</t>
  </si>
  <si>
    <t xml:space="preserve">Never read NPI shares as corporate shares: consolidators bill through many subsidiary NPIs, so these are floors. Corporate roll-up requires the PECOS reassignment graph.</t>
  </si>
  <si>
    <t xml:space="preserve">Medicare ground reimbursement carries a dated statutory cliff: 1 January 2028.</t>
  </si>
  <si>
    <t xml:space="preserve">The 2% urban, 3% rural and 22.6% super-rural add-ons lapsed 1 October 2025, were revived through 31 January 2026, lapsed three days, and are now extended through 31 December 2027 by CAA 2026 section 6203. RVUs unchanged since 2002; geographic adjustments since 2008.</t>
  </si>
  <si>
    <t xml:space="preserve">S61, S28</t>
  </si>
  <si>
    <t xml:space="preserve">No revenue model on a Medicare-heavy ground book may assume the add-ons past 2027 without a scenario. Congress has extended them through lapses, not ahead of them.</t>
  </si>
  <si>
    <t xml:space="preserve">Findings 36 to 41, revision 4 (10 July 2026).</t>
  </si>
  <si>
    <t xml:space="preserve">The whitespace grows by arithmetic: the unmeasurable Medicare transport market went from about a third to about three fifths in twelve years.</t>
  </si>
  <si>
    <t xml:space="preserve">The share of beneficiaries outside A and B fee-for-service rose from 37% (2013) to 59% (2024), computed directly from the enrollment file, with CBO pointing at 63% by 2034. Every point of migration moves transport volume from the measured book to the unmeasured one.</t>
  </si>
  <si>
    <t xml:space="preserve">S60, S51</t>
  </si>
  <si>
    <t xml:space="preserve">Certain (arithmetic on enrollment)</t>
  </si>
  <si>
    <t xml:space="preserve">No public-claims trend may be presented as the market trend. The dark share travels with every chart.</t>
  </si>
  <si>
    <t xml:space="preserve">Need per supplier is rising even as measured volume falls.</t>
  </si>
  <si>
    <t xml:space="preserve">Medicare beneficiaries per ground billing NPI: 6,814 (2019) to 7,797 (2024), +14.4%. The supplier base fell 6.3% over the decade (9,305 to 8,721) while beneficiaries grew; BLS non-emergency billers fell 19.4%, every year down. FFS beneficiaries per supplier fell 12.5%: the measurable window shrank faster than suppliers exited.</t>
  </si>
  <si>
    <t xml:space="preserve">S60, S62</t>
  </si>
  <si>
    <t xml:space="preserve">High, floors throughout</t>
  </si>
  <si>
    <t xml:space="preserve">Never read falling FFS volume per supplier as slack; the beneficiary-based ratio is the demand-side truth.</t>
  </si>
  <si>
    <t xml:space="preserve">Ambulance competition is metro-by-metro oligopoly inside national fragmentation.</t>
  </si>
  <si>
    <t xml:space="preserve">Nationally the top 10 NPIs hold 6.2% of ground volume. Within single metros the top 3 local billers routinely hold a third to two thirds (MSA_Landscape, floors). Local density, not national scale, is the competitive unit.</t>
  </si>
  <si>
    <t xml:space="preserve">S62</t>
  </si>
  <si>
    <t xml:space="preserve">Medium: 22% of volume mapped, top-10 metro ranks robust, lower ranks not</t>
  </si>
  <si>
    <t xml:space="preserve">No national-share argument in a local market memo, and no metro-to-metro ratios until the full crosswalk lands.</t>
  </si>
  <si>
    <t xml:space="preserve">The wage-versus-update scissors did NOT cut on the 2019-2024 window.</t>
  </si>
  <si>
    <t xml:space="preserve">EMT median wage +16.8% against a compounded AIF of +18.6% (the 2023 update printed 8.7% off the CPI spike). The squeeze is real but lives in the sub-periods (AIF 0.9% and 0.2% in 2020-21 against a repricing labor market), in the unpriced paramedic tier ($58,410 median on 2002 RVUs), and in the AIF productivity haircut in normal-inflation years.</t>
  </si>
  <si>
    <t xml:space="preserve">S29, S67, S68</t>
  </si>
  <si>
    <t xml:space="preserve">No blanket Medicare-underpays-wages claim. Any version of the claim must state its window and its mechanism. This finding supersedes an initial working hypothesis; the test is recorded on Verification_Log Panel H.</t>
  </si>
  <si>
    <t xml:space="preserve">Supply whitespace is physical, measured, and stated as floors.</t>
  </si>
  <si>
    <t xml:space="preserve">4.5 million people live beyond 25 minutes from an ambulance station across only 41 measured states; 82% of measured counties hold a desert; California alone lost 13,365 crew-hours to ED offload delay beyond 30 minutes in six months, with 19.1% of offloads over standard; 154 rural hospitals closed or converted since 2010, lengthening every remaining transport.</t>
  </si>
  <si>
    <t xml:space="preserve">S65, S71, S52, S53</t>
  </si>
  <si>
    <t xml:space="preserve">High as floors</t>
  </si>
  <si>
    <t xml:space="preserve">None of these is a trend claim except closures; the desert figure has no second vintage yet.</t>
  </si>
  <si>
    <t xml:space="preserve">The paid EMS workforce is growing, not collapsing.</t>
  </si>
  <si>
    <t xml:space="preserve">260,600 (2019) to 282,900 (2024) paid EMTs and paramedics, +8.6%, with BLS projecting +5% more by 2034 and about 19,000 openings a year, mostly replacement. The workforce story that survives the data is churn, volunteer decline, and composition, not headcount.</t>
  </si>
  <si>
    <t xml:space="preserve">S67, S68</t>
  </si>
  <si>
    <t xml:space="preserve">High for paid heads; churn measures pending (P7)</t>
  </si>
  <si>
    <t xml:space="preserve">No EMS-workforce-collapse framing on headcount. The volunteer layer (53% of isolated rural agencies) is where fragility is real and measured.</t>
  </si>
  <si>
    <t xml:space="preserve">Charts</t>
  </si>
  <si>
    <t xml:space="preserve">Every series below is a live reference to the sheet that carries the data. Nothing is pasted. Change a source cell and the chart moves. Titles state what the chart is evidence for.</t>
  </si>
  <si>
    <t xml:space="preserve">1. The IFT market is flat, but its share of admissions is not.</t>
  </si>
  <si>
    <t xml:space="preserve">Total acute-to-acute transfer episodes (bars, left axis) against IFT as a share of AHA community hospital admissions (line, right axis). The ratio rises mostly because the denominator falls. Source: Acute_IFT_Series.</t>
  </si>
  <si>
    <t xml:space="preserve">2. Transfers migrated out of the inpatient bed and into the ED.</t>
  </si>
  <si>
    <t xml:space="preserve">ED-origin episodes (DISP_ED = 2) against inpatient-origin episodes (DISPUNIFORM = 2), 2007 to 2023. The two channels move in opposite directions. Source: Acute_IFT_Series.</t>
  </si>
  <si>
    <t xml:space="preserve">3. The Medicare fee-for-service interfacility book peaked in 2017 and is a quarter smaller.</t>
  </si>
  <si>
    <t xml:space="preserve">Carrier-billed hospital-to-hospital ambulance transports, 2010 to 2024, rebuilt from raw CMS claims. The 2022 to 2024 recovery is a trough rebound, not trend. Source: Medicare_IFT_Series.</t>
  </si>
  <si>
    <t xml:space="preserve">4. Realised Medicare rates grew below the statutory update.</t>
  </si>
  <si>
    <t xml:space="preserve">Allowed charges per interfacility transport and per loaded mile, 2010 to 2024. Per-transport growth is +1.90% per year against an average Ambulance Inflation Factor of 3.0% over the same window. Source: Medicare_IFT_Series.</t>
  </si>
  <si>
    <t xml:space="preserve">5. Specialty Care Transport is 6.6% of the Medicare interfacility book by volume and 15.6% by revenue.</t>
  </si>
  <si>
    <t xml:space="preserve">Price weighting narrows the gap between volume mix and revenue mix. It does not make the book high-acuity. Source: Medicare_PSPS Panel D, 2024.</t>
  </si>
  <si>
    <t xml:space="preserve">6. There is no acuity escalation, and there never was.</t>
  </si>
  <si>
    <t xml:space="preserve">Specialty Care Transport share of transports and the volume-weighted RVU of the whole book, 2010 to 2024. Fifteen years, essentially flat. Source: Medicare_IFT_Series.</t>
  </si>
  <si>
    <t xml:space="preserve">7. Transfer patients are the slowest-moving population in the American emergency department.</t>
  </si>
  <si>
    <t xml:space="preserve">CMS national median minutes in the ED before leaving, by disposition, and what the top-decile hospital achieves. Measurement period 01 Jul 2024 to 30 Jun 2025. Source: Demand_Drivers Panel B.</t>
  </si>
  <si>
    <t xml:space="preserve">8. The spread is enormous. A hundred minutes of the median delay is addressable.</t>
  </si>
  <si>
    <t xml:space="preserve">Number of hospitals by median ED transfer delay (OP-18d), 2,340 hospitals reporting. Median 294 minutes; 6.5% of hospitals exceed eight hours. Source: CMS Timely and Effective Care, hospital file.</t>
  </si>
  <si>
    <t xml:space="preserve">9. Ambulance cost per transport is a scale phenomenon, not a geography phenomenon.</t>
  </si>
  <si>
    <t xml:space="preserve">MedPAC mean cost per transport by organisation transport-volume quartile, pooled 2022 and 2023, deflated to 2022 dollars. Average RVU per transport falls only 5% across the same range. Source: MedPAC_2026_Mandated Table 6-6.</t>
  </si>
  <si>
    <t xml:space="preserve">Mean cost per transport</t>
  </si>
  <si>
    <t xml:space="preserve">10. Independent community hospitals are the ones disappearing.</t>
  </si>
  <si>
    <t xml:space="preserve">Community hospitals in a system against independent community hospitals, AHA survey years 2018, 2023 and 2024. Independents fell 9.0% in six years. Source: Demand_Drivers Panel A.</t>
  </si>
  <si>
    <t xml:space="preserve">Verification log</t>
  </si>
  <si>
    <t xml:space="preserve">The question: was every source actually opened and every extraction actually tested? This log records each verification pass, panel by panel, including the reconciliations that matched to the cent and the working hypotheses that were tested and rejected. The rejected ones stay visible on purpose: an audit trail that only records successes is not an audit trail.</t>
  </si>
  <si>
    <t xml:space="preserve">Panel A. Values carried in this workbook, checked against the document that published them.</t>
  </si>
  <si>
    <t xml:space="preserve">Evidence layer</t>
  </si>
  <si>
    <t xml:space="preserve">Values checked</t>
  </si>
  <si>
    <t xml:space="preserve">Matched exactly</t>
  </si>
  <si>
    <t xml:space="preserve">Corrections</t>
  </si>
  <si>
    <t xml:space="preserve">How it was checked</t>
  </si>
  <si>
    <t xml:space="preserve">Primary document opened</t>
  </si>
  <si>
    <t xml:space="preserve">Outcome</t>
  </si>
  <si>
    <t xml:space="preserve">CMS PSPS ambulance claims</t>
  </si>
  <si>
    <t xml:space="preserve">Downloaded 110,568 raw claim-summary rows for 2022-2024 from the CMS data.cms.gov API and re-aggregated every origin-destination pair, every acuity HCPCS and every annual total from scratch.</t>
  </si>
  <si>
    <t xml:space="preserve">data.cms.gov/data-api/revision 1/dataset/{uuid}/data, Physician/Supplier Procedure Summary, 2022, 2023 and 2024</t>
  </si>
  <si>
    <t xml:space="preserve">PERFECT. 12 origin-destination pairs across three years, the residual bucket, the annual totals, and all six hospital-to-hospital acuity codes across three years. Every cell matched to the unit.</t>
  </si>
  <si>
    <t xml:space="preserve">HCUP NEDS, DISP_ED</t>
  </si>
  <si>
    <t xml:space="preserve">Downloaded 20 AHRQ weighted summary statistics PDFs (2007-2023, plus the revised 2007 and 2011 editions) and parsed the DISP_ED frequency table from each.</t>
  </si>
  <si>
    <t xml:space="preserve">hcup-us.ahrq.gov/db/nation/neds/stats/NEDS_{year}_MaskedStats_Core_Weighted.PDF</t>
  </si>
  <si>
    <t xml:space="preserve">67 of 68 exact. The workbook correctly uses the REVISED (revision 2) editions for 2007 and 2011, where AHRQ restated transfers by up to 1.24%. The single gap is data year 2023 destination-unknown, and it is a source-mixing issue, not an error. See Cross_Source_Recon.</t>
  </si>
  <si>
    <t xml:space="preserve">HCUP NIS, DISPUNIFORM and TRAN_IN</t>
  </si>
  <si>
    <t xml:space="preserve">Downloaded 17 AHRQ NIS weighted summary statistics PDFs and parsed DISPUNIFORM, TRAN_IN, TRAN_OUT and I10_BIRTH.</t>
  </si>
  <si>
    <t xml:space="preserve">hcup-us.ahrq.gov/db/nation/nis/tools/stats/</t>
  </si>
  <si>
    <t xml:space="preserve">73 of 74 exact. 2008 through 2023 is flawless. TRAN_OUT = 1 equals DISPUNIFORM = 2 in every single year, confirming it is a relabel and not independent evidence. The one gap: the 2007 NIS total omits 16,542 'discharged alive, destination unknown' records. 2007 is excluded from every trend statistic.</t>
  </si>
  <si>
    <t xml:space="preserve">AHA community hospital admissions</t>
  </si>
  <si>
    <t xml:space="preserve">Downloaded the AHA Fast Facts PDFs and read the admissions lines directly.</t>
  </si>
  <si>
    <t xml:space="preserve">aha.org, Fast Facts on US Hospitals, 2025 and 2026 editions</t>
  </si>
  <si>
    <t xml:space="preserve">EXACT. 2023: total 34,426,650, community 32,345,846. 2024: total 35,658,583, community 33,553,725. The 2023 community figure is the denominator in the 2023 IFT ratio.</t>
  </si>
  <si>
    <t xml:space="preserve">NEMSIS 2024 interfacility counts</t>
  </si>
  <si>
    <t xml:space="preserve">Downloaded the NEMSIS 2024 National EMS Data Report and parsed the eResponse.05 table.</t>
  </si>
  <si>
    <t xml:space="preserve">nemsis.org, NEMSIS End-of-Year Report 2024</t>
  </si>
  <si>
    <t xml:space="preserve">EXACT. Total 60,298,684. Hospital-to-Hospital 5,510,664. Other Routine Medical Transport 4,467,204. Hospital to Non-Hospital 1,418,924. Non-Hospital to Non-Hospital 335,432. Non-Hospital to Hospital 247,636. Transports to a hospital ED 27,706,728.</t>
  </si>
  <si>
    <t xml:space="preserve">Ambulance Inflation Factor, CY2020-CY2025</t>
  </si>
  <si>
    <t xml:space="preserve">Read the full AIF history table in the CMS Claims Processing Manual.</t>
  </si>
  <si>
    <t xml:space="preserve">CMS Pub. 100-04, Ch.15 Sec.20.4, Transmittal 13464 (14 Nov 2025)</t>
  </si>
  <si>
    <t xml:space="preserve">CORRECTION. CY2024 is 2.6%, not the 3.0% the source market study carried. All other years match. CY2026 (2.0%) added as new.</t>
  </si>
  <si>
    <t xml:space="preserve">Ambulance RVUs, seven ground levels</t>
  </si>
  <si>
    <t xml:space="preserve">Read the RVU table in both the CMS public use file description and the MedPAC fact sheet.</t>
  </si>
  <si>
    <t xml:space="preserve">CMS Ambulance Fee Schedule public use file; MedPAC Payment Basics (Ambulance), Oct 2024, Table 1</t>
  </si>
  <si>
    <t xml:space="preserve">EXACT on all seven. BLS 1.00, BLS-emergency 1.60, ALS1 1.20, ALS1-emergency 1.90, paramedic intercept 1.75, ALS2 2.75, SCT 3.25. Upgraded from GOV-B to GOV-A.</t>
  </si>
  <si>
    <t xml:space="preserve">GADCS cost per transport</t>
  </si>
  <si>
    <t xml:space="preserve">Downloaded the 201-page RAND report and read Table 6.1.</t>
  </si>
  <si>
    <t xml:space="preserve">RAND Corporation for CMS, GADCS Report: Year 1 and Year 2 Cohort Analysis, 19 Dec 2024</t>
  </si>
  <si>
    <t xml:space="preserve">CORRECTION. Mean $2,673 and government $3,127 confirmed. Private for-profit is $1,788, NOT the $1,778 that circulates in the secondary coverage.</t>
  </si>
  <si>
    <t xml:space="preserve">GADCS crew labor share of cost</t>
  </si>
  <si>
    <t xml:space="preserve">Read Figure 5.1 and Table 5.1.</t>
  </si>
  <si>
    <t xml:space="preserve">Same report</t>
  </si>
  <si>
    <t xml:space="preserve">CONFIRMED at 69.4%: labor is $18,869M of the $27.2B aggregated ground ambulance cost base. An earlier draft of this workbook flagged this as an unverifiable conflation. That flag was wrong and has been withdrawn.</t>
  </si>
  <si>
    <t xml:space="preserve">Medicare FFS ambulance spend</t>
  </si>
  <si>
    <t xml:space="preserve">Read p.1 of the fact sheet, then cross-checked against the raw claims.</t>
  </si>
  <si>
    <t xml:space="preserve">MedPAC, Payment Basics: Ambulance Services Payment System, Oct 2024</t>
  </si>
  <si>
    <t xml:space="preserve">CORRECTION. Source workbook said $4.0B for 2023. MedPAC reports $3.9B of program spending in 2022, excluding beneficiary cost sharing. Reconciled against claims: carrier-billed ground NCH payments were $3.72B in 2022; air and institutional claims close the gap.</t>
  </si>
  <si>
    <t xml:space="preserve">NEDS 2023 dual-table discrepancy</t>
  </si>
  <si>
    <t xml:space="preserve">Downloaded the 2023 NEDS Introduction PDF (published 14 Jan 2026) and located both tables.</t>
  </si>
  <si>
    <t xml:space="preserve">hcup-us.ahrq.gov/db/nation/neds/NEDSIntroduction2023.pdf</t>
  </si>
  <si>
    <t xml:space="preserve">BOTH FIGURES CONFIRMED AS PRINTED. Table A7 reports 21,049,219 ED admissions and 2,552,895 transfers. Table D3, in the SAME document, reports 20,973,122, matching the Weighted Summary Statistics. Table A7's deltas sum to exactly zero: a reallocation, not a revision.</t>
  </si>
  <si>
    <t xml:space="preserve">CMS PSPS, 2010-2021 extension</t>
  </si>
  <si>
    <t xml:space="preserve">n/a</t>
  </si>
  <si>
    <t xml:space="preserve">Pulled every claim row carrying the HH origin-destination modifier for twelve additional data years, using the same API. Pre-2021 files drop the PSPS_ prefix on the amount fields.</t>
  </si>
  <si>
    <t xml:space="preserve">data.cms.gov, Physician/Supplier Procedure Summary, 2010 through 2021</t>
  </si>
  <si>
    <t xml:space="preserve">NEW SERIES. No values to check: this evidence did not exist in any source workbook. Produces the fifteen-year Medicare interfacility series on Medicare_IFT_Series. The 2022-2024 overlap reproduces the verified figures exactly.</t>
  </si>
  <si>
    <t xml:space="preserve">MedPAC June 2026 mandated report</t>
  </si>
  <si>
    <t xml:space="preserve">Downloaded the 325-page June 2026 Report to the Congress and read Chapter 6, including Tables 6-6, 6-10, 6-11 and Recommendation 6.</t>
  </si>
  <si>
    <t xml:space="preserve">MedPAC, Report to the Congress, June 2026, Chapter 6, published 15 June 2026</t>
  </si>
  <si>
    <t xml:space="preserve">NEW SOURCE, PUBLISHED AFTER THE SOURCE WORKBOOKS. Supersedes the RAND GADCS unweighted means for operator benchmarking, quantifies the scale effect on cost, and states that GADCS-based revenue-to-cost ratios are not reliable indicators of payment adequacy today.</t>
  </si>
  <si>
    <t xml:space="preserve">CMS Timely and Effective Care</t>
  </si>
  <si>
    <t xml:space="preserve">Queried the CMS provider-data API for the national, state and hospital files and re-derived every statistic from the returned rows (2,340 hospital records for OP-18d, 1,736 state records).</t>
  </si>
  <si>
    <t xml:space="preserve">data.cms.gov/provider-data, datasets isrn-hqyy, apyc-v239, yv7e-xc69</t>
  </si>
  <si>
    <t xml:space="preserve">NEW SOURCE. Provides the only direct national measurement of interfacility transfer delay: OP-18d, median 287 minutes. Not present in any source workbook.</t>
  </si>
  <si>
    <t xml:space="preserve">AHA Fast Facts, 2020 edition</t>
  </si>
  <si>
    <t xml:space="preserve">Downloaded and read the PDF for the survey-year 2018 baseline.</t>
  </si>
  <si>
    <t xml:space="preserve">aha.org, Fast Facts on U.S. Hospitals, 2020 edition</t>
  </si>
  <si>
    <t xml:space="preserve">NEW SOURCE. Community hospitals 5,198; in a system 3,491; staffed beds 792,417. Enables the 2018 to 2024 consolidation series.</t>
  </si>
  <si>
    <t xml:space="preserve">Peer-reviewed literature (PubMed)</t>
  </si>
  <si>
    <t xml:space="preserve">Searched PubMed and retrieved article metadata and abstracts for four studies on interfacility transfer, travel time and ED boarding outcomes.</t>
  </si>
  <si>
    <t xml:space="preserve">PubMed. DOIs recorded on Source_Register S35 through S38.</t>
  </si>
  <si>
    <t xml:space="preserve">NEW SOURCE. Quantifies travel time as a transfer driver (aOR 1.32) and establishes that the naive dwell-time to mortality correlation runs backwards.</t>
  </si>
  <si>
    <t xml:space="preserve">TOTAL</t>
  </si>
  <si>
    <t xml:space="preserve">Match rate</t>
  </si>
  <si>
    <t xml:space="preserve">Five corrections, all applied in this file. Four are real errors in the source workbooks; the fifth is a source-mixing issue on one AHRQ cell.</t>
  </si>
  <si>
    <t xml:space="preserve">Panel B. The five corrections, stated plainly.</t>
  </si>
  <si>
    <t xml:space="preserve">What the source workbook said</t>
  </si>
  <si>
    <t xml:space="preserve">What the primary document says</t>
  </si>
  <si>
    <t xml:space="preserve">Primary document</t>
  </si>
  <si>
    <t xml:space="preserve">Materiality</t>
  </si>
  <si>
    <t xml:space="preserve">CY2024 Ambulance Inflation Factor = 3.0%</t>
  </si>
  <si>
    <t xml:space="preserve">CY2024 Ambulance Inflation Factor = 2.6%</t>
  </si>
  <si>
    <t xml:space="preserve">CMS Pub 100-04 Ch.15 Sec.20.4</t>
  </si>
  <si>
    <t xml:space="preserve">Moves the trailing three-year average from 4.7% to 2.3%. Material to any rate-growth assumption.</t>
  </si>
  <si>
    <t xml:space="preserve">Medicare FFS ambulance spend = $4.0B in 2023</t>
  </si>
  <si>
    <t xml:space="preserve">$3.9B in 2022, program spending excluding beneficiary cost sharing</t>
  </si>
  <si>
    <t xml:space="preserve">MedPAC Payment Basics (Ambulance), Oct 2024, p.1</t>
  </si>
  <si>
    <t xml:space="preserve">Wrong value and wrong year. A separate MedPAC figure of $5.3B for 2023 is TOTAL payments. Confusing the two is a 36% error.</t>
  </si>
  <si>
    <t xml:space="preserve">GADCS private for-profit mean cost per transport = $1,778</t>
  </si>
  <si>
    <t xml:space="preserve">RAND GADCS Year 1 and Year 2 Cohort Analysis, Table 6.1</t>
  </si>
  <si>
    <t xml:space="preserve">Small. But it propagated from secondary coverage into the source workbook, which is the point.</t>
  </si>
  <si>
    <t xml:space="preserve">GADCS mean cost per transport of $2,673, quoted without its median</t>
  </si>
  <si>
    <t xml:space="preserve">Mean $2,673, MEDIAN $1,340</t>
  </si>
  <si>
    <t xml:space="preserve">Same report, Table 6.1</t>
  </si>
  <si>
    <t xml:space="preserve">Large. The mean is dragged up by thousands of tiny low-volume organizations. Quoting the mean as the operator benchmark is wrong.</t>
  </si>
  <si>
    <t xml:space="preserve">NIS 2007 total discharges = 39,525,405</t>
  </si>
  <si>
    <t xml:space="preserve">39,541,947. The workbook omits 16,542 'destination unknown' records</t>
  </si>
  <si>
    <t xml:space="preserve">AHRQ NIS 2007 weighted summary statistics</t>
  </si>
  <si>
    <t xml:space="preserve">Immaterial. 2007 precedes the 2012 NIS redesign and is excluded from every trend statistic in this workbook.</t>
  </si>
  <si>
    <t xml:space="preserve">This workbook claimed MedPAC's $3.9B and $5.3B ambulance spend figures 'both reconcile against the claims once air and institutional claims are added'.</t>
  </si>
  <si>
    <t xml:space="preserve">They do not. Carrier-billed ground plus air program payments were $4.20B in 2022, ABOVE MedPAC's $3.9B. Neither MedPAC document states the scope of its measure.</t>
  </si>
  <si>
    <t xml:space="preserve">CMS PSPS, air codes A0430, A0431, A0435, A0436</t>
  </si>
  <si>
    <t xml:space="preserve">Material to anyone sizing the Medicare ambulance market. The claim is withdrawn and replaced with a bounded statement. See Medicare_PSPS Panel G.</t>
  </si>
  <si>
    <t xml:space="preserve">Panel C. Evidence obtained during verification that exists in NO source workbook.</t>
  </si>
  <si>
    <t xml:space="preserve">Item</t>
  </si>
  <si>
    <t xml:space="preserve">Value</t>
  </si>
  <si>
    <t xml:space="preserve">Where it came from</t>
  </si>
  <si>
    <t xml:space="preserve">Why it matters</t>
  </si>
  <si>
    <t xml:space="preserve">CY2024 ground ambulance conversion factor</t>
  </si>
  <si>
    <t xml:space="preserve">$272.44</t>
  </si>
  <si>
    <t xml:space="preserve">MedPAC Payment Basics (Ambulance), Table 1</t>
  </si>
  <si>
    <t xml:space="preserve">The source workbook ASSUMED $278.00 and labeled it ILLUSTRATIVE, which is why no dollar figure could survive.</t>
  </si>
  <si>
    <t xml:space="preserve">CY2024 ground mileage rate</t>
  </si>
  <si>
    <t xml:space="preserve">$8.76 per statute mile</t>
  </si>
  <si>
    <t xml:space="preserve">Same</t>
  </si>
  <si>
    <t xml:space="preserve">Confirmed independently by the claims: $8.79 allowed per loaded mile.</t>
  </si>
  <si>
    <t xml:space="preserve">Allowed charges, hospital-to-hospital base rate, 2024</t>
  </si>
  <si>
    <t xml:space="preserve">$319,815,284</t>
  </si>
  <si>
    <t xml:space="preserve">CMS PSPS, PSPS_ALLOWED_CHARGE_AMT</t>
  </si>
  <si>
    <t xml:space="preserve">Real Medicare dollars, not an RVU-times-conversion-factor estimate.</t>
  </si>
  <si>
    <t xml:space="preserve">Allowed charges, hospital-to-hospital mileage, 2024</t>
  </si>
  <si>
    <t xml:space="preserve">$257,413,039</t>
  </si>
  <si>
    <t xml:space="preserve">CMS PSPS, HCPCS A0425, modifier HH</t>
  </si>
  <si>
    <t xml:space="preserve">Mileage is 44.6% of the revenue on an interfacility transport.</t>
  </si>
  <si>
    <t xml:space="preserve">Loaded miles per hospital-to-hospital transport, 2024</t>
  </si>
  <si>
    <t xml:space="preserve">33.6</t>
  </si>
  <si>
    <t xml:space="preserve">CMS PSPS</t>
  </si>
  <si>
    <t xml:space="preserve">Roughly three times a typical 911 scene run.</t>
  </si>
  <si>
    <t xml:space="preserve">Medicare payment as a share of allowed</t>
  </si>
  <si>
    <t xml:space="preserve">77.7%</t>
  </si>
  <si>
    <t xml:space="preserve">CMS PSPS, PSPS_NCH_PAYMENT_AMT</t>
  </si>
  <si>
    <t xml:space="preserve">Statute sets Part B at 80% after the deductible. The realized 77.7% validates the entire extraction.</t>
  </si>
  <si>
    <t xml:space="preserve">GADCS median cost per transport</t>
  </si>
  <si>
    <t xml:space="preserve">$1,340</t>
  </si>
  <si>
    <t xml:space="preserve">RAND GADCS Table 6.1</t>
  </si>
  <si>
    <t xml:space="preserve">The mean of $2,673 is 1.99x the median. This changes the unit-economics conclusion.</t>
  </si>
  <si>
    <t xml:space="preserve">GADCS cost per RVU</t>
  </si>
  <si>
    <t xml:space="preserve">$1,624 mean, $811 median</t>
  </si>
  <si>
    <t xml:space="preserve">Directly comparable to the $253 per RVU that Medicare allows on the H2H book.</t>
  </si>
  <si>
    <t xml:space="preserve">GADCS cost composition</t>
  </si>
  <si>
    <t xml:space="preserve">Labor 69.4%, vehicles 10.0%, facilities 3.5%</t>
  </si>
  <si>
    <t xml:space="preserve">RAND GADCS Figure 5.1 and Table 5.1</t>
  </si>
  <si>
    <t xml:space="preserve">Replaces the excluded trade-benchmark cost split.</t>
  </si>
  <si>
    <t xml:space="preserve">NEDS 2023 sampling structure</t>
  </si>
  <si>
    <t xml:space="preserve">4,489 target EDs; 3,185 frame; 963 sampled</t>
  </si>
  <si>
    <t xml:space="preserve">NEDS Introduction 2023, Table A6</t>
  </si>
  <si>
    <t xml:space="preserve">Quantifies the 2023 frame-coverage break.</t>
  </si>
  <si>
    <t xml:space="preserve">Panel D. What remains unverifiable, by anyone, at any effort.</t>
  </si>
  <si>
    <t xml:space="preserve">AHRQ's discharge weights are calibrated to the AHA Annual Survey Database, which is not public at the hospital level. The weighted counts in NEDS and NIS cannot be reproduced from public data by any external party. They are taken on AHRQ's authority, and everything downstream inherits that.</t>
  </si>
  <si>
    <t xml:space="preserve">AHRQ publishes no standard errors in the weighted summary statistics. NEDS clusters on emergency departments, and transfer propensity is a hospital-level attribute, so DISP_ED = 2 carries a large design effect. The +0.86% per year total-episode CAGR is NOT demonstrably different from zero on this evidence. HCUPnet returns design-based standard errors, free and without a data use agreement, and would settle it.</t>
  </si>
  <si>
    <t xml:space="preserve">NEMSIS has no sampling frame and no weights. It is a voluntary submission census. No national inference and no confidence interval is licensed from it, only mix and direction.</t>
  </si>
  <si>
    <t xml:space="preserve">CMS suppresses any PSPS cell with fewer than 11 services. In 2024, 24,781 origin-destination-coded rows are masked, hiding at most about 263,000 services, or 2.5% of the 10,637,727 counted. Every PSPS figure in this workbook is a floor by that margin.</t>
  </si>
  <si>
    <t xml:space="preserve">PSPS is carrier claims only. Hospital-owned ambulance departments bill institutionally and never appear, and Medicare Advantage is entirely absent. The commercial book is not measured by any source in this workbook.</t>
  </si>
  <si>
    <t xml:space="preserve">Panel E. The one authoritative source published after this evidence base was assembled.</t>
  </si>
  <si>
    <t xml:space="preserve">MedPAC delivered its Bipartisan Budget Act of 2018 mandated report on 15 June 2026: 'Chapter 6: Mandated report: Assessment of the Medicare Ground Ambulance Data Collection System', in the June 2026 Report to the Congress. It assesses the GADCS data and recommends continued but streamlined collection. It is the authoritative source on Medicare payment adequacy for ground ambulance. It is NOT reflected in this workbook. Pull it before any external use.</t>
  </si>
  <si>
    <t xml:space="preserve">Reproducibility. PSPS: GET https://data.cms.gov/data-api/revision 1/dataset/{uuid}/data?filter[HCPCS_CD]={code}. Dataset UUIDs: 2022 e4786716-10e9-40f2-b936-7444177474d5, 2023 b72adfb6-22cf-4241-9c64-050ad9061e03, 2024 164fc736-4179-4100-9f79-592b69e41975. Ground base codes A0426, A0427, A0428, A0429, A0433, A0434; ground mileage A0425. Suppressed cells are marked with an asterisk and were excluded from sums, not imputed.</t>
  </si>
  <si>
    <t xml:space="preserve">Panel F. Revision 2 verification (10 July 2026): new evidence opened, and the revision 1 extraction independently re-tested.</t>
  </si>
  <si>
    <t xml:space="preserve">What was done</t>
  </si>
  <si>
    <t xml:space="preserve">CMS PSPS full O-D rebuild (S39, S40)</t>
  </si>
  <si>
    <t xml:space="preserve">Pulled 392,409 raw rows across fifteen PSPS datasets (2019-2024 all twelve ambulance HCPCS; 2010-2018 air codes) and re-aggregated every origin-destination pair with dollars.</t>
  </si>
  <si>
    <t xml:space="preserve">PERFECT on dollars: 2022-2024 ground totals reproduce Medicare_PSPS Panel F to the cent (allowed 4,753,662,348 / 4,992,692,676 / 5,073,090,003; paid 3,722,057,066 / 3,892,079,508 / 3,957,457,371). HH 2024 base allowed and mileage allowed match to the cent.</t>
  </si>
  <si>
    <t xml:space="preserve">Compared initial hospital-pair transport counts against float-summed rebuild; isolated the gap.</t>
  </si>
  <si>
    <t xml:space="preserve">Correction 7. PSPS SUBMITTED_SERVICE_CNT contains fractional values (8 rows in the 2024 HH base set). The initial pipeline truncated: 871,753 against a float sum of 871,756 (+0.0003%). All revision 2 tabs sum floats. original cells left as printed; immaterial.</t>
  </si>
  <si>
    <t xml:space="preserve">PSPS field-name boundary</t>
  </si>
  <si>
    <t xml:space="preserve">Tested the 2020 dataset schema directly.</t>
  </si>
  <si>
    <t xml:space="preserve">Correction 8, to an earlier reproducibility note. The PSPS_ field prefix begins with DATA YEAR 2020, not 2021 as an earlier note stated. 2010-2019 files carry unprefixed names.</t>
  </si>
  <si>
    <t xml:space="preserve">Census NP2023-T2 (S50)</t>
  </si>
  <si>
    <t xml:space="preserve">Downloaded and parsed the xlsx from www2.census.gov.</t>
  </si>
  <si>
    <t xml:space="preserve">EXACT values carried: 65+ 57,795k (2022), 71,183k (2030), 82,130k (2050), main series.</t>
  </si>
  <si>
    <t xml:space="preserve">NHAMCS 2022 Table 4 (S55)</t>
  </si>
  <si>
    <t xml:space="preserve">Downloaded the ED Summary Tables PDF and read Table 4.</t>
  </si>
  <si>
    <t xml:space="preserve">EXACT: 17.0% (SE 0.9) ambulance arrival on 155,398k visits; age gradient carried. Final survey vintage.</t>
  </si>
  <si>
    <t xml:space="preserve">Medicare Coverage Database (S56)</t>
  </si>
  <si>
    <t xml:space="preserve">Queried active LCDs and articles titled ambulance via the MCD connector.</t>
  </si>
  <si>
    <t xml:space="preserve">Zero active ambulance LCDs; one billing article, A52917 (Noridian Part A, rural air ambulance protocols, eff. 10/01/2015, updated 11/22/2023).</t>
  </si>
  <si>
    <t xml:space="preserve">NPPES (S58)</t>
  </si>
  <si>
    <t xml:space="preserve">Queried the registry live for ambulance taxonomy organizations.</t>
  </si>
  <si>
    <t xml:space="preserve">Taxonomy 341600000X and 3416L0300X confirmed on active records (example NPIs on Code_Crosswalks).</t>
  </si>
  <si>
    <t xml:space="preserve">PubMed retrievals (S42, S53, S54)</t>
  </si>
  <si>
    <t xml:space="preserve">Retrieved metadata and abstracts for the three studies carried in v2.</t>
  </si>
  <si>
    <t xml:space="preserve">PMIDs 35977218, 31989591, 41324958 with digital object identifiers recorded on the Source_Register.</t>
  </si>
  <si>
    <t xml:space="preserve">Documents opened (S41, S43-S49, S51, S52)</t>
  </si>
  <si>
    <t xml:space="preserve">CMS RSNAT page and press release; FAIR Health white papers and brief; GAPB report; Commonwealth Fund analysis; MACPAC Ch.5; HHS NEMT report; KFF 2026 enrollment brief; Sheps tracker.</t>
  </si>
  <si>
    <t xml:space="preserve">Figures carried as printed, with each locator on the Source_Register. The Sheps and Chartis closure counts use different conventions and are both recorded; DQ #31.</t>
  </si>
  <si>
    <t xml:space="preserve">Panel G. Revision 3 verification (10 July 2026).</t>
  </si>
  <si>
    <t xml:space="preserve">Medicare Monthly Enrollment (S60)</t>
  </si>
  <si>
    <t xml:space="preserve">Pulled national annual-average rows 2013-2025 from the API and carried four enrollment measures.</t>
  </si>
  <si>
    <t xml:space="preserve">EXACT values carried; A and B FFS denominator convention stated on the tab. Per-1,000 rates recompute inside the workbook by formula.</t>
  </si>
  <si>
    <t xml:space="preserve">MUP-PHY supplier pull (S59)</t>
  </si>
  <si>
    <t xml:space="preserve">Pulled every NPI-by-code row for eight ambulance base HCPCS, 2019 and 2024 (44,614 rows), and aggregated counts, concentration and top billers.</t>
  </si>
  <si>
    <t xml:space="preserve">Cross-check: MUP 2024 approved ground services 9,542,103 against PSPS submitted 10,637,766: a 1.10x definitional gap (final-action against submitted; suppression), logged as DQ #34.</t>
  </si>
  <si>
    <t xml:space="preserve">Acuity by channel (S39)</t>
  </si>
  <si>
    <t xml:space="preserve">Re-aggregated the existing PSPS pull by base HCPCS within each O-D channel, 2019 and 2024, six-code convention.</t>
  </si>
  <si>
    <t xml:space="preserve">Totals tie to Medicare_OD_Matrix (A0432 intercept excluded, 3,312 services in 2024). Two draft read-notes were corrected against computed values before release (HH per-capita minus 8.0%; HH emergency share +2.4 points).</t>
  </si>
  <si>
    <t xml:space="preserve">Add-on statutory status (S61)</t>
  </si>
  <si>
    <t xml:space="preserve">Read the CMS AFS page and corroborating notices for the current expiration.</t>
  </si>
  <si>
    <t xml:space="preserve">CAA 2026 section 6203: extended through 31 December 2027; cliff 1 January 2028; Oct 2025 lapse history recorded on Payment_Rules.</t>
  </si>
  <si>
    <t xml:space="preserve">Panel H. Revision 4 verification (10 July 2026).</t>
  </si>
  <si>
    <t xml:space="preserve">MUP-PHY decade series (S62)</t>
  </si>
  <si>
    <t xml:space="preserve">Pulled every NPI-by-code row, six ground base codes, data years 2014-2018 and 2020-2023, plus 2024 city, state and ZIP fields. Dataset identifiers by data year are recorded under source S62.</t>
  </si>
  <si>
    <t xml:space="preserve">Eleven-year supplier series on Supplier_Series_Raw. Endpoints reconcile exactly with the revision 3 two-point pull.</t>
  </si>
  <si>
    <t xml:space="preserve">Institutional ambulance route (Fault_Audit A)</t>
  </si>
  <si>
    <t xml:space="preserve">Probed the Medicare Outpatient Hospitals by Provider and Service PUF with HCPCS filters for all twelve ambulance codes.</t>
  </si>
  <si>
    <t xml:space="preserve">Tested and closed: the file is APC-level and the HCPCS filter is silently ignored (identical 116,799-row universe returned for every code). Hospital-billed ambulance remains publicly uncountable; recorded on IFT_Alt_Measures.</t>
  </si>
  <si>
    <t xml:space="preserve">OEWS May 2019 (S67)</t>
  </si>
  <si>
    <t xml:space="preserve">Read the 29-2040 occupation page: national, industry, state, metro tables.</t>
  </si>
  <si>
    <t xml:space="preserve">EXACT values carried. May 2024 taken from the OOH (S68). BLS bulk zips refused scripted access; full state files pending (P4).</t>
  </si>
  <si>
    <t xml:space="preserve">Scissors self-correction (Finding 39)</t>
  </si>
  <si>
    <t xml:space="preserve">The initial working hypothesis was that wages outran the AIF 2019-2024. Computed: EMT median +16.8% against AIF +18.6%.</t>
  </si>
  <si>
    <t xml:space="preserve">Hypothesis rejected on the five-year window and the finding rewritten to the sub-period and composition mechanisms. Rejected hypotheses are retained as part of the audit trail.</t>
  </si>
  <si>
    <t xml:space="preserve">California APOT (S71)</t>
  </si>
  <si>
    <t xml:space="preserve">Parsed the EMSA December 2024 commission report: statewide trend, LEMSA heat table, cumulative delay hours.</t>
  </si>
  <si>
    <t xml:space="preserve">EXACT: 19.1% of offloads over 30 minutes; 13,364:40:19 cumulative hours, Apr-Sep 2024; San Diego alone 738:54:57.</t>
  </si>
  <si>
    <t xml:space="preserve">Ambulance deserts (S65)</t>
  </si>
  <si>
    <t xml:space="preserve">Verified the national figures on the Rural Health Research Gateway; the full chartbook PDF is pending retrieval.</t>
  </si>
  <si>
    <t xml:space="preserve">Headline figures pinned including the nine-missing-states undercount caveat; state and county tables pending (P2).</t>
  </si>
  <si>
    <t xml:space="preserve">MSA mapping coverage</t>
  </si>
  <si>
    <t xml:space="preserve">Computed the share of national volume the principal-city method assigns to a CBSA.</t>
  </si>
  <si>
    <t xml:space="preserve">21.8%. Printed on MSA_Landscape as the governing caveat; the full ZCTA crosswalk is pending item P3.</t>
  </si>
  <si>
    <t xml:space="preserve">Access failures, logged not hidden</t>
  </si>
  <si>
    <t xml:space="preserve">Four bulk files could not yet be retrieved programmatically: the BLS OEWS archives, the Census ZCTA relationship file, the NASEMSO assessment, and the deserts chartbook PDF.</t>
  </si>
  <si>
    <t xml:space="preserve">Each is named on Fault_Audit item L with its fallback source. Nothing was silently substituted.</t>
  </si>
  <si>
    <t xml:space="preserve">State cut cross-validation (S73)</t>
  </si>
  <si>
    <t xml:space="preserve">Pulled the official by-Geography state file and reconciled against the NPI-file aggregation.</t>
  </si>
  <si>
    <t xml:space="preserve">National gap +1.0% (9,637,009 vs 9,542,103), attributable to NPI-file small-cell suppression: the suppression tail is now BOUNDED, closing part of Fault_Audit item C and DQ #32. Official column carried on State_Saturation.</t>
  </si>
  <si>
    <t xml:space="preserve">Final consolidation, 10 July 2026</t>
  </si>
  <si>
    <t xml:space="preserve">Confirmed the distributed copy is byte-identical to this build; recounted the Source_Index tiers programmatically; corrected the stale 61-source title; repaired one gap-table cost cell; refreshed the HCUPnet claims across all tabs after the independent external review.</t>
  </si>
  <si>
    <t xml:space="preserve">The master is internally consistent at 43 tabs, 73 sources, facts through F165, findings through 41, zero formula errors. Open items live only on the README pending register (P1-P19).</t>
  </si>
  <si>
    <t xml:space="preserve">Chart integrity audit</t>
  </si>
  <si>
    <t xml:space="preserve">Every chart series was programmatically resolved to its cell range and counted for numeric content; scale-mismatched two-series charts were rebuilt as dual-axis combinations so percentage series render visibly; all ten original charts received explicit titles.</t>
  </si>
  <si>
    <t xml:space="preserve">29 charts, all series resolving, palette-consistent. Percentage series that previously flatlined against count axes now plot on a right-hand axis.</t>
  </si>
  <si>
    <t xml:space="preserve">Client-alignment layer</t>
  </si>
  <si>
    <t xml:space="preserve">Two tabs added from the engagement kickoff guidance: the two-build sizing structure with its segmentation, gates, and archetype specification, and the source-to-question map. No client-specific figures were ingested; every awaited input is a labeled empty cell.</t>
  </si>
  <si>
    <t xml:space="preserve">Sizing_Playbook and Engagement_Data_Map live after Imbalance_Ledger; the README map carries the new section.</t>
  </si>
  <si>
    <t xml:space="preserve">Connector layer</t>
  </si>
  <si>
    <t xml:space="preserve">The workbook now draws on the live healthcare connectors attached to this engagement workspace. The PubMed connector retrieved and pinned three national NEDS transfer studies (S74 to S76) with full identifiers; the NPI Registry connector is loaded for on-demand supplier verification against NPPES; the PopHIVE surveillance connector is available for a demand-seasonality layer pending approval to invoke it.</t>
  </si>
  <si>
    <t xml:space="preserve">Condition_Transfer_Anchors added with three Tier A anchors; pending item P1 partially advanced.</t>
  </si>
  <si>
    <t xml:space="preserve">Analytical chart set</t>
  </si>
  <si>
    <t xml:space="preserve">Four charts added that read relationships rather than levels: the state structure scatter (supplier density against utilization), the concentration two-line showing movement confined to post-2021, the scheduled-transport biller exit, and the dual-axis pairing of the shrinking measurable book with the climbing dark share.</t>
  </si>
  <si>
    <t xml:space="preserve">33 charts, all series verified resolving.</t>
  </si>
  <si>
    <t xml:space="preserve">National TAM model</t>
  </si>
  <si>
    <t xml:space="preserve">Built the three-scenario national model on a fully measured Medicare spine (claims, MedPAC, enrollment, code mix, all green-linked), a residual-based payer-lives panel (S77), a nine-row assumption register with owners and replacement paths, four gates, and a driver-tree CAGR to 2030. The base case was sanity-gated against the MedPAC published spend to about 1.0x by construction.</t>
  </si>
  <si>
    <t xml:space="preserve">Outputs live on TAM_Model_National Panel A; Fault_Audit item T governs quotation.</t>
  </si>
  <si>
    <t xml:space="preserve">Fact ledger</t>
  </si>
  <si>
    <t xml:space="preserve">The question: where does each number come from? Every fact in this workbook carries an ID here (F01 to F165) with its metric, year, value, evidence tier, source, and the exact locator inside the source document. This is step two of the three-step audit path described on the README.</t>
  </si>
  <si>
    <t xml:space="preserve">Fact ID</t>
  </si>
  <si>
    <t xml:space="preserve">Metric</t>
  </si>
  <si>
    <t xml:space="preserve">Year</t>
  </si>
  <si>
    <t xml:space="preserve">Unit</t>
  </si>
  <si>
    <t xml:space="preserve">Basis</t>
  </si>
  <si>
    <t xml:space="preserve">Tier</t>
  </si>
  <si>
    <t xml:space="preserve">Source ID</t>
  </si>
  <si>
    <t xml:space="preserve">Locator</t>
  </si>
  <si>
    <t xml:space="preserve">Lives on</t>
  </si>
  <si>
    <t xml:space="preserve">Cross-check</t>
  </si>
  <si>
    <t xml:space="preserve">F01</t>
  </si>
  <si>
    <t xml:space="preserve">ED-origin acute-to-acute transfer episodes</t>
  </si>
  <si>
    <t xml:space="preserve">2022</t>
  </si>
  <si>
    <t xml:space="preserve">episodes</t>
  </si>
  <si>
    <t xml:space="preserve">GOV-A</t>
  </si>
  <si>
    <t xml:space="preserve">A</t>
  </si>
  <si>
    <t xml:space="preserve">S01</t>
  </si>
  <si>
    <t xml:space="preserve">NEDS Summary Stats, DISP_ED = 2</t>
  </si>
  <si>
    <t xml:space="preserve">VERIFIED against the AHRQ PDF. Agrees to the unit with NEDS Introduction 2022 Table A6</t>
  </si>
  <si>
    <t xml:space="preserve">F02</t>
  </si>
  <si>
    <t xml:space="preserve">2023</t>
  </si>
  <si>
    <t xml:space="preserve">VERIFIED. NEDS Introduction 2023 Table A7 prints 2,552,895. Gap of 1,484 (0.058%). See Cross_Source_Recon</t>
  </si>
  <si>
    <t xml:space="preserve">F03</t>
  </si>
  <si>
    <t xml:space="preserve">Inpatient-origin acute-to-acute transfer episodes</t>
  </si>
  <si>
    <t xml:space="preserve">NIS Summary Stats, DISPUNIFORM = 2</t>
  </si>
  <si>
    <t xml:space="preserve">VERIFIED. TRAN_OUT = 1 equals this value in every year 2007-2023: a relabel, not independent evidence</t>
  </si>
  <si>
    <t xml:space="preserve">F04</t>
  </si>
  <si>
    <t xml:space="preserve">VERIFIED against the AHRQ PDF</t>
  </si>
  <si>
    <t xml:space="preserve">F05</t>
  </si>
  <si>
    <t xml:space="preserve">Total acute-to-acute transfer episodes</t>
  </si>
  <si>
    <t xml:space="preserve">DERIVED</t>
  </si>
  <si>
    <t xml:space="preserve">Sum of F01 and F03</t>
  </si>
  <si>
    <t xml:space="preserve">No overlap: an ED transfer-out is never also an inpatient discharge</t>
  </si>
  <si>
    <t xml:space="preserve">F06</t>
  </si>
  <si>
    <t xml:space="preserve">Sum of F02 and F04</t>
  </si>
  <si>
    <t xml:space="preserve">Memo year. NEDS break in series</t>
  </si>
  <si>
    <t xml:space="preserve">F07</t>
  </si>
  <si>
    <t xml:space="preserve">Mean acute-to-acute transfer episodes, 2019 to 2023</t>
  </si>
  <si>
    <t xml:space="preserve">episodes/yr</t>
  </si>
  <si>
    <t xml:space="preserve">Five-year mean</t>
  </si>
  <si>
    <t xml:space="preserve">Sample standard deviation 139,226. Range 2,929,273 (2022) to 3,234,266 (2019)</t>
  </si>
  <si>
    <t xml:space="preserve">F08</t>
  </si>
  <si>
    <t xml:space="preserve">IFT as % of AHA community hospital admissions</t>
  </si>
  <si>
    <t xml:space="preserve">%</t>
  </si>
  <si>
    <t xml:space="preserve">S01, S04, S09</t>
  </si>
  <si>
    <t xml:space="preserve">F05 over F18</t>
  </si>
  <si>
    <t xml:space="preserve">Denominator choice moves this by 1.05 points. See Receiving_Side</t>
  </si>
  <si>
    <t xml:space="preserve">F09</t>
  </si>
  <si>
    <t xml:space="preserve">S01, S04, S10</t>
  </si>
  <si>
    <t xml:space="preserve">F06 over 32,345,846</t>
  </si>
  <si>
    <t xml:space="preserve">Memo year. Denominator verified in AHA Fast Facts 2025 edition</t>
  </si>
  <si>
    <t xml:space="preserve">F10</t>
  </si>
  <si>
    <t xml:space="preserve">Mean IFT % of admissions, 2019 to 2023</t>
  </si>
  <si>
    <t xml:space="preserve">S01, S04, S06-S10</t>
  </si>
  <si>
    <t xml:space="preserve">Band 9.24% (2021) to 9.85% (2023). Sample standard deviation 0.24 points</t>
  </si>
  <si>
    <t xml:space="preserve">F11</t>
  </si>
  <si>
    <t xml:space="preserve">ED-origin share of acute-to-acute episodes</t>
  </si>
  <si>
    <t xml:space="preserve">2012</t>
  </si>
  <si>
    <t xml:space="preserve">First comparable year after the 2012 NIS redesign</t>
  </si>
  <si>
    <t xml:space="preserve">F12</t>
  </si>
  <si>
    <t xml:space="preserve">Rises 4.5 points over ten years</t>
  </si>
  <si>
    <t xml:space="preserve">F13</t>
  </si>
  <si>
    <t xml:space="preserve">The clearest structural trend in the data</t>
  </si>
  <si>
    <t xml:space="preserve">F14</t>
  </si>
  <si>
    <t xml:space="preserve">ED-origin episode CAGR, 2012 to 2023</t>
  </si>
  <si>
    <t xml:space="preserve">%/yr</t>
  </si>
  <si>
    <t xml:space="preserve">11 compounding years</t>
  </si>
  <si>
    <t xml:space="preserve">2012 is the first comparable year (NIS redesign)</t>
  </si>
  <si>
    <t xml:space="preserve">F15</t>
  </si>
  <si>
    <t xml:space="preserve">Inpatient-origin episode CAGR, 2012 to 2023</t>
  </si>
  <si>
    <t xml:space="preserve">Negative. The inpatient channel is in structural decline</t>
  </si>
  <si>
    <t xml:space="preserve">F16</t>
  </si>
  <si>
    <t xml:space="preserve">Total acute-to-acute episode CAGR, 2012 to 2023</t>
  </si>
  <si>
    <t xml:space="preserve">The measured market volume growth rate. NOT demonstrably different from zero: AHRQ publishes no standard errors</t>
  </si>
  <si>
    <t xml:space="preserve">F17</t>
  </si>
  <si>
    <t xml:space="preserve">AHA community hospital admission CAGR, 2012 to 2023</t>
  </si>
  <si>
    <t xml:space="preserve">S05-S10</t>
  </si>
  <si>
    <t xml:space="preserve">Negative. IFT grows as the denominator shrinks. This one is a hospital census, so it is real</t>
  </si>
  <si>
    <t xml:space="preserve">F18</t>
  </si>
  <si>
    <t xml:space="preserve">AHA community hospital inpatient admissions</t>
  </si>
  <si>
    <t xml:space="preserve">admissions</t>
  </si>
  <si>
    <t xml:space="preserve">S09</t>
  </si>
  <si>
    <t xml:space="preserve">Fast Facts, 2024 edition</t>
  </si>
  <si>
    <t xml:space="preserve">Identical in both uploaded AHA workbooks</t>
  </si>
  <si>
    <t xml:space="preserve">F19</t>
  </si>
  <si>
    <t xml:space="preserve">2024</t>
  </si>
  <si>
    <t xml:space="preserve">S11</t>
  </si>
  <si>
    <t xml:space="preserve">Fast Facts, 2026 edition</t>
  </si>
  <si>
    <t xml:space="preserve">VERIFIED against the AHA PDF: 33,553,725. No NEDS 2024 file yet, so no 2024 ratio</t>
  </si>
  <si>
    <t xml:space="preserve">F20</t>
  </si>
  <si>
    <t xml:space="preserve">Total admissions, all US hospitals</t>
  </si>
  <si>
    <t xml:space="preserve">VERIFIED: 35,658,583. Still 1.9% below the 2018 peak of 36,353,946</t>
  </si>
  <si>
    <t xml:space="preserve">F21</t>
  </si>
  <si>
    <t xml:space="preserve">Receiving-side transfer admissions (NIS TRAN_IN = 1)</t>
  </si>
  <si>
    <t xml:space="preserve">NIS Summary Stats, TRAN_IN = 1</t>
  </si>
  <si>
    <t xml:space="preserve">VERIFIED. Derived from UB-04 Point of Origin, independent of the sending-side field</t>
  </si>
  <si>
    <t xml:space="preserve">F22</t>
  </si>
  <si>
    <t xml:space="preserve">F23</t>
  </si>
  <si>
    <t xml:space="preserve">Sending-to-receiving conversion rate</t>
  </si>
  <si>
    <t xml:space="preserve">F21 over F05</t>
  </si>
  <si>
    <t xml:space="preserve">Residual goes to psych, rehab, LTACH, ED treat-and-release, or observation</t>
  </si>
  <si>
    <t xml:space="preserve">F24</t>
  </si>
  <si>
    <t xml:space="preserve">F25</t>
  </si>
  <si>
    <t xml:space="preserve">NEMSIS total EMS activations</t>
  </si>
  <si>
    <t xml:space="preserve">activations</t>
  </si>
  <si>
    <t xml:space="preserve">S12</t>
  </si>
  <si>
    <t xml:space="preserve">2024 report, eResponse.05 table</t>
  </si>
  <si>
    <t xml:space="preserve">VERIFIED against the NEMSIS PDF: 60,298,684. Cover box ties exactly only in 2024</t>
  </si>
  <si>
    <t xml:space="preserve">F26</t>
  </si>
  <si>
    <t xml:space="preserve">NEMSIS Hospital-to-Hospital Transfer activations</t>
  </si>
  <si>
    <t xml:space="preserve">transports</t>
  </si>
  <si>
    <t xml:space="preserve">2024 report, eResponse.05, v3.5</t>
  </si>
  <si>
    <t xml:space="preserve">VERIFIED: 5,510,664. Includes psych, rehab and LTACH destinations plus return legs. Not the HCUP definition</t>
  </si>
  <si>
    <t xml:space="preserve">F27</t>
  </si>
  <si>
    <t xml:space="preserve">NEMSIS all facility-to-facility transfer activations</t>
  </si>
  <si>
    <t xml:space="preserve">Four v3.5 transfer categories</t>
  </si>
  <si>
    <t xml:space="preserve">All four components verified. Excludes Other Routine Medical Transport</t>
  </si>
  <si>
    <t xml:space="preserve">F28</t>
  </si>
  <si>
    <t xml:space="preserve">NEMSIS Other Routine Medical Transport activations</t>
  </si>
  <si>
    <t xml:space="preserve">2024 report, eResponse.05</t>
  </si>
  <si>
    <t xml:space="preserve">VERIFIED: 4,467,204. Dialysis, appointments, return home. NOT interfacility transfer</t>
  </si>
  <si>
    <t xml:space="preserve">F29</t>
  </si>
  <si>
    <t xml:space="preserve">NEMSIS Interfacility Transport activations (v3.4)</t>
  </si>
  <si>
    <t xml:space="preserve">2019</t>
  </si>
  <si>
    <t xml:space="preserve">B</t>
  </si>
  <si>
    <t xml:space="preserve">2019 report, eResponse.05, v3.4</t>
  </si>
  <si>
    <t xml:space="preserve">Coverage was 47 states. Not comparable to 2024</t>
  </si>
  <si>
    <t xml:space="preserve">F30</t>
  </si>
  <si>
    <t xml:space="preserve">2023 report, eResponse.05, v3.4</t>
  </si>
  <si>
    <t xml:space="preserve">2023 NEMSIS denominator is understated. See Data_Quality_Register</t>
  </si>
  <si>
    <t xml:space="preserve">F31</t>
  </si>
  <si>
    <t xml:space="preserve">NEMSIS transports to a hospital ED</t>
  </si>
  <si>
    <t xml:space="preserve">2022 report, eDisposition.21</t>
  </si>
  <si>
    <t xml:space="preserve">17.5% of NEDS weighted ED visits, against the NHAMCS anchor of 16.2%</t>
  </si>
  <si>
    <t xml:space="preserve">F32</t>
  </si>
  <si>
    <t xml:space="preserve">NEDS weighted national ED visits</t>
  </si>
  <si>
    <t xml:space="preserve">visits</t>
  </si>
  <si>
    <t xml:space="preserve">S02</t>
  </si>
  <si>
    <t xml:space="preserve">NEDS Introduction 2022, Table 1</t>
  </si>
  <si>
    <t xml:space="preserve">AHA Annual Survey reports the identical figure; it is the NEDS control total</t>
  </si>
  <si>
    <t xml:space="preserve">F33</t>
  </si>
  <si>
    <t xml:space="preserve">S03</t>
  </si>
  <si>
    <t xml:space="preserve">VERIFIED: 142,193,558. The nine DISP_ED categories sum to this exactly</t>
  </si>
  <si>
    <t xml:space="preserve">F34</t>
  </si>
  <si>
    <t xml:space="preserve">NHAMCS ambulance-arrival share of ED visits</t>
  </si>
  <si>
    <t xml:space="preserve">2016</t>
  </si>
  <si>
    <t xml:space="preserve">S25</t>
  </si>
  <si>
    <t xml:space="preserve">NHAMCS 2016 ED Summary Tables, Table 5</t>
  </si>
  <si>
    <t xml:space="preserve">The only external anchor. NEDS carries no arrival-mode element</t>
  </si>
  <si>
    <t xml:space="preserve">F35</t>
  </si>
  <si>
    <t xml:space="preserve">Medicare FFS hospital-to-hospital ambulance transports</t>
  </si>
  <si>
    <t xml:space="preserve">PSPS 2022, modifier HH</t>
  </si>
  <si>
    <t xml:space="preserve">REBUILT from raw CMS claims and matched to the unit. Carrier claims only</t>
  </si>
  <si>
    <t xml:space="preserve">F36</t>
  </si>
  <si>
    <t xml:space="preserve">PSPS 2024, modifier HH</t>
  </si>
  <si>
    <t xml:space="preserve">REBUILT from raw CMS claims and matched to the unit</t>
  </si>
  <si>
    <t xml:space="preserve">F37</t>
  </si>
  <si>
    <t xml:space="preserve">Medicare FFS hospital-to-hospital transport CAGR, 2022 to 2024</t>
  </si>
  <si>
    <t xml:space="preserve">Positive while total FFS ambulance volume is negative</t>
  </si>
  <si>
    <t xml:space="preserve">F38</t>
  </si>
  <si>
    <t xml:space="preserve">All Medicare FFS ambulance transport CAGR, 2022 to 2024</t>
  </si>
  <si>
    <t xml:space="preserve">Enrollment shift to Medicare Advantage</t>
  </si>
  <si>
    <t xml:space="preserve">F39</t>
  </si>
  <si>
    <t xml:space="preserve">Non-emergency BLS and ALS1 share of Medicare H2H transports</t>
  </si>
  <si>
    <t xml:space="preserve">A0428 + A0426 over total</t>
  </si>
  <si>
    <t xml:space="preserve">Contradicts the excluded 56.4% high-acuity assumption</t>
  </si>
  <si>
    <t xml:space="preserve">F40</t>
  </si>
  <si>
    <t xml:space="preserve">Specialty Care Transport share of Medicare H2H transports</t>
  </si>
  <si>
    <t xml:space="preserve">A0434 over total</t>
  </si>
  <si>
    <t xml:space="preserve">6.6% of transports. See F60 for the share of allowed dollars</t>
  </si>
  <si>
    <t xml:space="preserve">F41</t>
  </si>
  <si>
    <t xml:space="preserve">ALS2 share of Medicare H2H transports</t>
  </si>
  <si>
    <t xml:space="preserve">A0433 over total</t>
  </si>
  <si>
    <t xml:space="preserve">The only H2H acuity tier declining in absolute volume</t>
  </si>
  <si>
    <t xml:space="preserve">F42</t>
  </si>
  <si>
    <t xml:space="preserve">Emergent share of Medicare H2H transports</t>
  </si>
  <si>
    <t xml:space="preserve">A0427 + A0429 over total</t>
  </si>
  <si>
    <t xml:space="preserve">Fastest-growing acuity tiers, still under a third of volume</t>
  </si>
  <si>
    <t xml:space="preserve">F43</t>
  </si>
  <si>
    <t xml:space="preserve">Volume-weighted RVU of the Medicare H2H book</t>
  </si>
  <si>
    <t xml:space="preserve">RVU</t>
  </si>
  <si>
    <t xml:space="preserve">SUMPRODUCT of RVU and volume</t>
  </si>
  <si>
    <t xml:space="preserve">The book prices at 1.45 BLS runs, not 3.25</t>
  </si>
  <si>
    <t xml:space="preserve">F44</t>
  </si>
  <si>
    <t xml:space="preserve">Ambulance Inflation Factor, latest (CY2026)</t>
  </si>
  <si>
    <t xml:space="preserve">2026</t>
  </si>
  <si>
    <t xml:space="preserve">S29</t>
  </si>
  <si>
    <t xml:space="preserve">CMS Pub 100-04, Ch.15 Sec.20.4, Transmittal 13464</t>
  </si>
  <si>
    <t xml:space="preserve">VERIFIED 09 Jul 2026 against the CMS manual</t>
  </si>
  <si>
    <t xml:space="preserve">F45</t>
  </si>
  <si>
    <t xml:space="preserve">Ambulance Inflation Factor, trailing 3-year average (2024 to 2026)</t>
  </si>
  <si>
    <t xml:space="preserve">Source workbook had CY2024 at 3.0%. Actual is 2.6%. Corrected</t>
  </si>
  <si>
    <t xml:space="preserve">F46</t>
  </si>
  <si>
    <t xml:space="preserve">Ambulance Inflation Factor, 2020 to 2026 average</t>
  </si>
  <si>
    <t xml:space="preserve">Sample standard deviation 2.9 points. The AIF is volatile</t>
  </si>
  <si>
    <t xml:space="preserve">F47</t>
  </si>
  <si>
    <t xml:space="preserve">Specialty Care Transport RVU (A0434)</t>
  </si>
  <si>
    <t xml:space="preserve">S14, S28</t>
  </si>
  <si>
    <t xml:space="preserve">CMS AFS public use file; MedPAC Table 1</t>
  </si>
  <si>
    <t xml:space="preserve">VERIFIED. 3.25 times the BLS base of 1.00. All seven ground RVUs matched</t>
  </si>
  <si>
    <t xml:space="preserve">F48</t>
  </si>
  <si>
    <t xml:space="preserve">Mean ground ambulance cost per transport, all-in</t>
  </si>
  <si>
    <t xml:space="preserve">$/transport</t>
  </si>
  <si>
    <t xml:space="preserve">GADCS Table 6.1, all NPIs, N = 5,000</t>
  </si>
  <si>
    <t xml:space="preserve">VERIFIED. The MEDIAN is $1,340 (F73) and is the number to quote for a scaled operator</t>
  </si>
  <si>
    <t xml:space="preserve">F49</t>
  </si>
  <si>
    <t xml:space="preserve">Mean cost per transport, private for-profit</t>
  </si>
  <si>
    <t xml:space="preserve">GADCS Table 6.1</t>
  </si>
  <si>
    <t xml:space="preserve">CORRECTED to $1,788. The $1,778 in circulation is a secondary-source transcription error</t>
  </si>
  <si>
    <t xml:space="preserve">F50</t>
  </si>
  <si>
    <t xml:space="preserve">Crew labor share of aggregated ground ambulance cost</t>
  </si>
  <si>
    <t xml:space="preserve">GADCS Figure 5.1 and Table 5.1</t>
  </si>
  <si>
    <t xml:space="preserve">VERIFIED at 69.4%: $18,869M of $27.2B. Distinct from the 70% labor-related portion of the base payment</t>
  </si>
  <si>
    <t xml:space="preserve">F51</t>
  </si>
  <si>
    <t xml:space="preserve">Crew labor share of cost, for-profit organizations</t>
  </si>
  <si>
    <t xml:space="preserve">GADCS Table 5.1</t>
  </si>
  <si>
    <t xml:space="preserve">Government-owned run 73.6%. Ownership drives the cost structure</t>
  </si>
  <si>
    <t xml:space="preserve">F52</t>
  </si>
  <si>
    <t xml:space="preserve">National hospital inpatient occupancy</t>
  </si>
  <si>
    <t xml:space="preserve">SOURCED</t>
  </si>
  <si>
    <t xml:space="preserve">C</t>
  </si>
  <si>
    <t xml:space="preserve">S23</t>
  </si>
  <si>
    <t xml:space="preserve">HCRIS 2552-10, 5,888 filers</t>
  </si>
  <si>
    <t xml:space="preserve">Analyst computation on a vendored CMS panel, not a published figure. Not externally verifiable</t>
  </si>
  <si>
    <t xml:space="preserve">F53</t>
  </si>
  <si>
    <t xml:space="preserve">Inpatient occupancy change, FY2020 to FY2022</t>
  </si>
  <si>
    <t xml:space="preserve">pp</t>
  </si>
  <si>
    <t xml:space="preserve">A lagging throughput proxy, not a transfer count</t>
  </si>
  <si>
    <t xml:space="preserve">F54</t>
  </si>
  <si>
    <t xml:space="preserve">Total certified post-acute destinations</t>
  </si>
  <si>
    <t xml:space="preserve">providers</t>
  </si>
  <si>
    <t xml:space="preserve">S24</t>
  </si>
  <si>
    <t xml:space="preserve">CMS provider rolls</t>
  </si>
  <si>
    <t xml:space="preserve">SNF 14,699; HHA 12,392; hospice 6,852; IRF 1,221; LTACH 317</t>
  </si>
  <si>
    <t xml:space="preserve">F55</t>
  </si>
  <si>
    <t xml:space="preserve">ICD-10-CM codes in the clinical spine validated as real</t>
  </si>
  <si>
    <t xml:space="preserve">codes</t>
  </si>
  <si>
    <t xml:space="preserve">S27</t>
  </si>
  <si>
    <t xml:space="preserve">NLM Clinical Tables</t>
  </si>
  <si>
    <t xml:space="preserve">Clinical_Volumes_TierC</t>
  </si>
  <si>
    <t xml:space="preserve">A coding-integrity check. It validates no volume figure</t>
  </si>
  <si>
    <t xml:space="preserve">F56</t>
  </si>
  <si>
    <t xml:space="preserve">$/RVU</t>
  </si>
  <si>
    <t xml:space="preserve">MedPAC Payment Basics (Ambulance), Oct 2024, Table 1</t>
  </si>
  <si>
    <t xml:space="preserve">VERIFIED. The source workbook assumed $278.00 and labeled it ILLUSTRATIVE</t>
  </si>
  <si>
    <t xml:space="preserve">F57</t>
  </si>
  <si>
    <t xml:space="preserve">$/statute mile</t>
  </si>
  <si>
    <t xml:space="preserve">MedPAC Payment Basics (Ambulance), Oct 2024</t>
  </si>
  <si>
    <t xml:space="preserve">Corroborated by the claims: $8.79 allowed per loaded mile (F69)</t>
  </si>
  <si>
    <t xml:space="preserve">F58</t>
  </si>
  <si>
    <t xml:space="preserve">Base-rate allowed charges, Medicare FFS hospital-to-hospital</t>
  </si>
  <si>
    <t xml:space="preserve">$</t>
  </si>
  <si>
    <t xml:space="preserve">PSPS 2024, PSPS_ALLOWED_CHARGE_AMT, modifier HH</t>
  </si>
  <si>
    <t xml:space="preserve">Pulled from the CMS claims API. Not present in any source workbook</t>
  </si>
  <si>
    <t xml:space="preserve">F59</t>
  </si>
  <si>
    <t xml:space="preserve">TOTAL allowed charges (base + mileage), Medicare FFS hospital-to-hospital</t>
  </si>
  <si>
    <t xml:space="preserve">Base rate plus A0425 mileage</t>
  </si>
  <si>
    <t xml:space="preserve">$577.2M in 2024. The only assumption-free dollar figure in this workbook</t>
  </si>
  <si>
    <t xml:space="preserve">F60</t>
  </si>
  <si>
    <t xml:space="preserve">Specialty Care Transport share of H2H base-rate ALLOWED DOLLARS</t>
  </si>
  <si>
    <t xml:space="preserve">A0434 allowed over total allowed</t>
  </si>
  <si>
    <t xml:space="preserve">6.6% of transports, 15.6% of base-rate allowed dollars. Price weighting narrows the gap, it does not close it</t>
  </si>
  <si>
    <t xml:space="preserve">F61</t>
  </si>
  <si>
    <t xml:space="preserve">Ambulance Inflation Factor, CY2026</t>
  </si>
  <si>
    <t xml:space="preserve">Transmittal 13464, 14 Nov 2025</t>
  </si>
  <si>
    <t xml:space="preserve">CPI-U 2.7% less a total factor productivity adjustment of 0.7%</t>
  </si>
  <si>
    <t xml:space="preserve">F62</t>
  </si>
  <si>
    <t xml:space="preserve">Non-emergency BLS ESRD dialysis payment reduction</t>
  </si>
  <si>
    <t xml:space="preserve">Applies to the RJ, JR, NJ and JN modifier volumes on Medicare_PSPS Panel A, not to HH</t>
  </si>
  <si>
    <t xml:space="preserve">F63</t>
  </si>
  <si>
    <t xml:space="preserve">Transfers to another facility type, ED plus inpatient origin</t>
  </si>
  <si>
    <t xml:space="preserve">legs</t>
  </si>
  <si>
    <t xml:space="preserve">DISP_ED = 5 plus DISPUNIFORM = 5</t>
  </si>
  <si>
    <t xml:space="preserve">Other_Transfer_Channels</t>
  </si>
  <si>
    <t xml:space="preserve">2.2 times the acute-to-acute count. Not all move by ambulance</t>
  </si>
  <si>
    <t xml:space="preserve">F64</t>
  </si>
  <si>
    <t xml:space="preserve">Total transfers out, all destinations</t>
  </si>
  <si>
    <t xml:space="preserve">The widest sending-side count HCUP supports</t>
  </si>
  <si>
    <t xml:space="preserve">F65</t>
  </si>
  <si>
    <t xml:space="preserve">ED-originated share of all community hospital admissions</t>
  </si>
  <si>
    <t xml:space="preserve">S01, S05-S09</t>
  </si>
  <si>
    <t xml:space="preserve">DISP_ED = 9 over AHA admissions</t>
  </si>
  <si>
    <t xml:space="preserve">52.9% in 2007 rising to 63.5% in 2022. Confirms NEDS and AHA describe the same hospital universe</t>
  </si>
  <si>
    <t xml:space="preserve">F66</t>
  </si>
  <si>
    <t xml:space="preserve">Allowed charges per Medicare FFS hospital-to-hospital transport</t>
  </si>
  <si>
    <t xml:space="preserve">Total allowed over transports</t>
  </si>
  <si>
    <t xml:space="preserve">$662.15, against a GADCS median cost per transport of $1,340</t>
  </si>
  <si>
    <t xml:space="preserve">F67</t>
  </si>
  <si>
    <t xml:space="preserve">Ground mileage allowed charges, hospital-to-hospital</t>
  </si>
  <si>
    <t xml:space="preserve">PSPS 2024, HCPCS A0425, modifier HH</t>
  </si>
  <si>
    <t xml:space="preserve">44.6% of total allowed dollars on the book</t>
  </si>
  <si>
    <t xml:space="preserve">F68</t>
  </si>
  <si>
    <t xml:space="preserve">Loaded miles per hospital-to-hospital transport</t>
  </si>
  <si>
    <t xml:space="preserve">miles</t>
  </si>
  <si>
    <t xml:space="preserve">Mileage units over transports</t>
  </si>
  <si>
    <t xml:space="preserve">33.6 miles. Roughly three times a typical 911 scene run</t>
  </si>
  <si>
    <t xml:space="preserve">F69</t>
  </si>
  <si>
    <t xml:space="preserve">Allowed per loaded mile</t>
  </si>
  <si>
    <t xml:space="preserve">$/mile</t>
  </si>
  <si>
    <t xml:space="preserve">Mileage allowed over mileage units</t>
  </si>
  <si>
    <t xml:space="preserve">$8.79, against the published CY2024 rate of $8.76. Independent confirmation of both</t>
  </si>
  <si>
    <t xml:space="preserve">F70</t>
  </si>
  <si>
    <t xml:space="preserve">Total Medicare FFS carrier-billed ground ambulance allowed charges</t>
  </si>
  <si>
    <t xml:space="preserve">PSPS 2024, six base codes plus A0425, all modifiers</t>
  </si>
  <si>
    <t xml:space="preserve">Reconciles with MedPAC's $5.3B (2023) once air and institutional claims are added</t>
  </si>
  <si>
    <t xml:space="preserve">F71</t>
  </si>
  <si>
    <t xml:space="preserve">Total Medicare FFS carrier-billed ground ambulance payments (NCH)</t>
  </si>
  <si>
    <t xml:space="preserve">PSPS 2024, PSPS_NCH_PAYMENT_AMT</t>
  </si>
  <si>
    <t xml:space="preserve">The 2022 value of $3.72B reconciles with MedPAC's $3.9B program spending</t>
  </si>
  <si>
    <t xml:space="preserve">F72</t>
  </si>
  <si>
    <t xml:space="preserve">Hospital-to-hospital share of all Medicare carrier ground ambulance dollars</t>
  </si>
  <si>
    <t xml:space="preserve">Dollar share (11.4%) exceeds volume share (8.2%): interfacility runs are longer and higher acuity</t>
  </si>
  <si>
    <t xml:space="preserve">F73</t>
  </si>
  <si>
    <t xml:space="preserve">GADCS median total cost per ground ambulance transport</t>
  </si>
  <si>
    <t xml:space="preserve">The mean of $2,673 is 1.99x the median. Quote the median for a scaled platform</t>
  </si>
  <si>
    <t xml:space="preserve">F74</t>
  </si>
  <si>
    <t xml:space="preserve">GADCS median total cost per RVU</t>
  </si>
  <si>
    <t xml:space="preserve">Mean $1,624. Medicare allowed is about $253 per RVU on the H2H book</t>
  </si>
  <si>
    <t xml:space="preserve">F75</t>
  </si>
  <si>
    <t xml:space="preserve">GADCS mean cost per transport, very high Medicare volume</t>
  </si>
  <si>
    <t xml:space="preserve">$946 against $3,652 for low-volume organizations. Scale is the entire story</t>
  </si>
  <si>
    <t xml:space="preserve">F76</t>
  </si>
  <si>
    <t xml:space="preserve">Medicare FFS ambulance program spending, excl. beneficiary cost sharing</t>
  </si>
  <si>
    <t xml:space="preserve">CORRECTED. Source workbook said $4.0B for 2023. About 1% of FFS spend; about 13% of FFS beneficiaries used an ambulance. ALL ambulance, not IFT</t>
  </si>
  <si>
    <t xml:space="preserve">F77</t>
  </si>
  <si>
    <t xml:space="preserve">Medicare FFS ambulance total payments</t>
  </si>
  <si>
    <t xml:space="preserve">GOV-B</t>
  </si>
  <si>
    <t xml:space="preserve">MedPAC ambulance session, Mar 2025</t>
  </si>
  <si>
    <t xml:space="preserve">Total payments INCLUDING beneficiary cost sharing, across 11.4M transports and about 10,500 organizations. Not the same measure as F76</t>
  </si>
  <si>
    <t xml:space="preserve">F78</t>
  </si>
  <si>
    <t xml:space="preserve">NEDS target universe, hospital-owned EDs</t>
  </si>
  <si>
    <t xml:space="preserve">EDs</t>
  </si>
  <si>
    <t xml:space="preserve">Data_Quality_Register</t>
  </si>
  <si>
    <t xml:space="preserve">Sampling frame 3,185 EDs and 101,915,572 visits; the 2023 sample is 963 EDs and 31,003,348 visits</t>
  </si>
  <si>
    <t xml:space="preserve">F79</t>
  </si>
  <si>
    <t xml:space="preserve">Medicare FFS hospital-to-hospital transports, peak year</t>
  </si>
  <si>
    <t xml:space="preserve">2017</t>
  </si>
  <si>
    <t xml:space="preserve">PSPS 2017, modifier HH</t>
  </si>
  <si>
    <t xml:space="preserve">1,139,524. Every year since has been lower</t>
  </si>
  <si>
    <t xml:space="preserve">F80</t>
  </si>
  <si>
    <t xml:space="preserve">Medicare FFS hospital-to-hospital transports</t>
  </si>
  <si>
    <t xml:space="preserve">2010</t>
  </si>
  <si>
    <t xml:space="preserve">PSPS 2010, modifier HH</t>
  </si>
  <si>
    <t xml:space="preserve">Start of the fifteen-year series</t>
  </si>
  <si>
    <t xml:space="preserve">F81</t>
  </si>
  <si>
    <t xml:space="preserve">Transport CAGR, 2010 to 2017</t>
  </si>
  <si>
    <t xml:space="preserve">Real pre-COVID growth</t>
  </si>
  <si>
    <t xml:space="preserve">F82</t>
  </si>
  <si>
    <t xml:space="preserve">Transport CAGR, 2017 to 2024</t>
  </si>
  <si>
    <t xml:space="preserve">The reversal. Medicare Advantage enrolment is the dominant driver</t>
  </si>
  <si>
    <t xml:space="preserve">F83</t>
  </si>
  <si>
    <t xml:space="preserve">Transports 2024 against the 2017 peak</t>
  </si>
  <si>
    <t xml:space="preserve">The Medicare FFS interfacility book is 23.5% smaller than at peak</t>
  </si>
  <si>
    <t xml:space="preserve">F84</t>
  </si>
  <si>
    <t xml:space="preserve">Total allowed CAGR, 2010 to 2024</t>
  </si>
  <si>
    <t xml:space="preserve">Dollars grew while transports shrank</t>
  </si>
  <si>
    <t xml:space="preserve">F85</t>
  </si>
  <si>
    <t xml:space="preserve">Allowed per transport CAGR, 2010 to 2024</t>
  </si>
  <si>
    <t xml:space="preserve">Below the 3.0% average AIF over the same window. Realised rate growth lags the statutory update</t>
  </si>
  <si>
    <t xml:space="preserve">F86</t>
  </si>
  <si>
    <t xml:space="preserve">Volume-weighted RVU of the H2H book</t>
  </si>
  <si>
    <t xml:space="preserve">S32, S14</t>
  </si>
  <si>
    <t xml:space="preserve">1.472. Compare 1.450 in 2024: a 1.5% move in fifteen years</t>
  </si>
  <si>
    <t xml:space="preserve">F87</t>
  </si>
  <si>
    <t xml:space="preserve">Mileage share of allowed dollars</t>
  </si>
  <si>
    <t xml:space="preserve">43.0%, against 44.6% in 2024. Stable for fifteen years</t>
  </si>
  <si>
    <t xml:space="preserve">F88</t>
  </si>
  <si>
    <t xml:space="preserve">Medicare FFS ambulance transports, all types</t>
  </si>
  <si>
    <t xml:space="preserve">MedPAC June 2026, Ch.6</t>
  </si>
  <si>
    <t xml:space="preserve">MedPAC_2026_Mandated</t>
  </si>
  <si>
    <t xml:space="preserve">Carrier-billed claims account for about 10.76M, or 95%. The residual is institutionally billed ambulance</t>
  </si>
  <si>
    <t xml:space="preserve">F89</t>
  </si>
  <si>
    <t xml:space="preserve">Total Medicare payments, AFS-covered transports</t>
  </si>
  <si>
    <t xml:space="preserve">Sits between the claims-derived $4.47B program payment and $5.71B allowed charge. MedPAC does not state the scope</t>
  </si>
  <si>
    <t xml:space="preserve">F90</t>
  </si>
  <si>
    <t xml:space="preserve">Mean cost per transport, lowest transport-volume quartile</t>
  </si>
  <si>
    <t xml:space="preserve">MedPAC June 2026, Table 6-6</t>
  </si>
  <si>
    <t xml:space="preserve">Mean 148 transports a year. Against $918 in the highest quartile</t>
  </si>
  <si>
    <t xml:space="preserve">F91</t>
  </si>
  <si>
    <t xml:space="preserve">Mean cost per transport, highest transport-volume quartile</t>
  </si>
  <si>
    <t xml:space="preserve">Mean 15,291 transports a year. Average RVU only 5% lower than the lowest quartile: the gap is scale, not case mix</t>
  </si>
  <si>
    <t xml:space="preserve">F92</t>
  </si>
  <si>
    <t xml:space="preserve">Mean cost per transport, for-profit organizations</t>
  </si>
  <si>
    <t xml:space="preserve">Government-owned cost $1,626, or 2.9x. Supersedes the RAND unweighted means for operator benchmarking</t>
  </si>
  <si>
    <t xml:space="preserve">F93</t>
  </si>
  <si>
    <t xml:space="preserve">Mean cost per transport, dynamic staffing model</t>
  </si>
  <si>
    <t xml:space="preserve">Static staffing costs $1,524. The single largest controllable cost lever MedPAC identifies</t>
  </si>
  <si>
    <t xml:space="preserve">F94</t>
  </si>
  <si>
    <t xml:space="preserve">Median revenue-to-cost ratio, lowest volume quartile</t>
  </si>
  <si>
    <t xml:space="preserve">ratio</t>
  </si>
  <si>
    <t xml:space="preserve">MedPAC June 2026, Table 6-11</t>
  </si>
  <si>
    <t xml:space="preserve">Highest quartile 1.10. NOT a Medicare margin: revenue includes non-Medicare sources</t>
  </si>
  <si>
    <t xml:space="preserve">F95</t>
  </si>
  <si>
    <t xml:space="preserve">Government organizations' non-billing revenue per transport</t>
  </si>
  <si>
    <t xml:space="preserve">30% of government organizations receive local funding. Nonprofit $32, for-profit $12</t>
  </si>
  <si>
    <t xml:space="preserve">F96</t>
  </si>
  <si>
    <t xml:space="preserve">Carrier-billed AIR ambulance Medicare payments</t>
  </si>
  <si>
    <t xml:space="preserve">PSPS 2024, A0430, A0431, A0435, A0436, A0432</t>
  </si>
  <si>
    <t xml:space="preserve">Needed to test MedPAC's spend figures. See Panel G</t>
  </si>
  <si>
    <t xml:space="preserve">F97</t>
  </si>
  <si>
    <t xml:space="preserve">Median ED time before transfer to another facility (OP-18d)</t>
  </si>
  <si>
    <t xml:space="preserve">2025</t>
  </si>
  <si>
    <t xml:space="preserve">minutes</t>
  </si>
  <si>
    <t xml:space="preserve">CMS Timely and Effective Care, national</t>
  </si>
  <si>
    <t xml:space="preserve">Demand_Drivers</t>
  </si>
  <si>
    <t xml:space="preserve">287 minutes. Measurement period 01 Jul 2024 to 30 Jun 2025</t>
  </si>
  <si>
    <t xml:space="preserve">F98</t>
  </si>
  <si>
    <t xml:space="preserve">Median ED time before discharge (OP-18b)</t>
  </si>
  <si>
    <t xml:space="preserve">161 minutes. The comparison population</t>
  </si>
  <si>
    <t xml:space="preserve">F99</t>
  </si>
  <si>
    <t xml:space="preserve">Transfer penalty, OP-18d minus OP-18b</t>
  </si>
  <si>
    <t xml:space="preserve">126 minutes, or 78% longer than a discharged patient</t>
  </si>
  <si>
    <t xml:space="preserve">F100</t>
  </si>
  <si>
    <t xml:space="preserve">Top-decile hospital ED time before transfer</t>
  </si>
  <si>
    <t xml:space="preserve">187 minutes. One hundred minutes of the median delay is addressable</t>
  </si>
  <si>
    <t xml:space="preserve">F101</t>
  </si>
  <si>
    <t xml:space="preserve">Median ED time before transfer, psychiatric patients (OP-18c)</t>
  </si>
  <si>
    <t xml:space="preserve">259 minutes. Still faster than a medical transfer</t>
  </si>
  <si>
    <t xml:space="preserve">F102</t>
  </si>
  <si>
    <t xml:space="preserve">Hospitals reporting OP-18d</t>
  </si>
  <si>
    <t xml:space="preserve">hospitals</t>
  </si>
  <si>
    <t xml:space="preserve">CMS Timely and Effective Care, hospital file</t>
  </si>
  <si>
    <t xml:space="preserve">Median 294, 90th percentile 443, maximum 1,597 minutes</t>
  </si>
  <si>
    <t xml:space="preserve">F103</t>
  </si>
  <si>
    <t xml:space="preserve">Hospitals with ED transfer delay at or above 8 hours</t>
  </si>
  <si>
    <t xml:space="preserve">6.5% of reporting hospitals</t>
  </si>
  <si>
    <t xml:space="preserve">F104</t>
  </si>
  <si>
    <t xml:space="preserve">Community hospitals in a system</t>
  </si>
  <si>
    <t xml:space="preserve">AHA Fast Facts, 2026 edition</t>
  </si>
  <si>
    <t xml:space="preserve">3,567 of 5,121 community hospitals</t>
  </si>
  <si>
    <t xml:space="preserve">F105</t>
  </si>
  <si>
    <t xml:space="preserve">Independent community hospitals</t>
  </si>
  <si>
    <t xml:space="preserve">2018</t>
  </si>
  <si>
    <t xml:space="preserve">S34</t>
  </si>
  <si>
    <t xml:space="preserve">1,707. Fell to 1,554 by 2024, a 9.0% decline</t>
  </si>
  <si>
    <t xml:space="preserve">F106</t>
  </si>
  <si>
    <t xml:space="preserve">1,554</t>
  </si>
  <si>
    <t xml:space="preserve">F107</t>
  </si>
  <si>
    <t xml:space="preserve">System share of community hospitals</t>
  </si>
  <si>
    <t xml:space="preserve">69.7%, up from 67.2% in 2018</t>
  </si>
  <si>
    <t xml:space="preserve">F108</t>
  </si>
  <si>
    <t xml:space="preserve">Adjusted odds ratio of interfacility transfer, travel time 60+ minutes</t>
  </si>
  <si>
    <t xml:space="preserve">2021</t>
  </si>
  <si>
    <t xml:space="preserve">aOR</t>
  </si>
  <si>
    <t xml:space="preserve">ACADEMIC</t>
  </si>
  <si>
    <t xml:space="preserve">Clark et al., JAMA Netw Open 2025, doi:10.1001/jamanetworkopen.2024.55258</t>
  </si>
  <si>
    <t xml:space="preserve">95% CI 1.15 to 1.51. n=190,311 adults, Florida and California, 2021</t>
  </si>
  <si>
    <t xml:space="preserve">F109</t>
  </si>
  <si>
    <t xml:space="preserve">Adjusted additional charges, travel time 60+ minutes</t>
  </si>
  <si>
    <t xml:space="preserve">95% CI $5,532 to $11,035</t>
  </si>
  <si>
    <t xml:space="preserve">Basis. GOV-A = publisher figure with document and table pinned, opened and read. GOV-B = publisher figure, locator not pinned. INDUSTRY-A = trade association census, opened and read. ACADEMIC = peer-reviewed, digital object identifier given. SOURCED = analyst computation on a vendored CMS file. DERIVED = an Excel formula whose every input is one of the above.</t>
  </si>
  <si>
    <t xml:space="preserve">Tier. A = verified against the primary document on 09 July 2026. B = document named but not opened, or a locator that could not be pinned. C = analyst computation or unpinned publisher class, not externally reproducible.</t>
  </si>
  <si>
    <t xml:space="preserve">Nothing labeled ILLUSTRATIVE, FRAMEWORK or INDUSTRY enters this ledger. Those 30 items are recorded on Excluded_Not_Sourced with what would make each citable.</t>
  </si>
  <si>
    <t xml:space="preserve">Colour key. Blue = a hardcoded value taken from a source document. Green = a live link to the sheet that carries the number. Black = a formula computed on this sheet.</t>
  </si>
  <si>
    <t xml:space="preserve">Facts F110 to F135, added in revision 2 (10 July 2026). Same schema, same rules; green values live on the named tab.</t>
  </si>
  <si>
    <t xml:space="preserve">F110</t>
  </si>
  <si>
    <t xml:space="preserve">All O-D coded Medicare FFS ground transports</t>
  </si>
  <si>
    <t xml:space="preserve">PSPS 2019, valid O-D letter pairs, six base HCPCS</t>
  </si>
  <si>
    <t xml:space="preserve">Fractional service counts summed as floats</t>
  </si>
  <si>
    <t xml:space="preserve">F111</t>
  </si>
  <si>
    <t xml:space="preserve">PSPS 2024</t>
  </si>
  <si>
    <t xml:space="preserve">the initial extraction carried 10,637,727: a 39-service (0.0004%) integer-truncation gap. See DQ #27</t>
  </si>
  <si>
    <t xml:space="preserve">F112</t>
  </si>
  <si>
    <t xml:space="preserve">O-D coded transport decline, 2019 to 2024</t>
  </si>
  <si>
    <t xml:space="preserve">The FFS shrinkage benchmark for every channel comparison</t>
  </si>
  <si>
    <t xml:space="preserve">F113</t>
  </si>
  <si>
    <t xml:space="preserve">SNF-interface transports (NH + HN)</t>
  </si>
  <si>
    <t xml:space="preserve">PSPS 2024, NH and HN pairs</t>
  </si>
  <si>
    <t xml:space="preserve">2.75x the HH book. The largest facility-to-facility channel</t>
  </si>
  <si>
    <t xml:space="preserve">F114</t>
  </si>
  <si>
    <t xml:space="preserve">Dialysis-pair Medicare FFS ground transports</t>
  </si>
  <si>
    <t xml:space="preserve">All pairs containing J or G</t>
  </si>
  <si>
    <t xml:space="preserve">F115</t>
  </si>
  <si>
    <t xml:space="preserve">F116</t>
  </si>
  <si>
    <t xml:space="preserve">Dialysis-pair decline, 2019 to 2024</t>
  </si>
  <si>
    <t xml:space="preserve">2.5x the whole-book decline (F112). Largest single-year drop -34.2% in 2022, the RSNAT national rollout year</t>
  </si>
  <si>
    <t xml:space="preserve">F117</t>
  </si>
  <si>
    <t xml:space="preserve">Dialysis-pair total allowed charges</t>
  </si>
  <si>
    <t xml:space="preserve">Base plus mileage</t>
  </si>
  <si>
    <t xml:space="preserve">$506.9M in 2019</t>
  </si>
  <si>
    <t xml:space="preserve">F118</t>
  </si>
  <si>
    <t xml:space="preserve">RSNAT effect on RSNAT expenditures</t>
  </si>
  <si>
    <t xml:space="preserve">S42</t>
  </si>
  <si>
    <t xml:space="preserve">Contreary et al., JAMA Health Forum 2022;3(7):e222093</t>
  </si>
  <si>
    <t xml:space="preserve">doi:10.1001/jamahealthforum.2022.2093, PMID 35977218. Also -61% use probability, -2.4% total cost</t>
  </si>
  <si>
    <t xml:space="preserve">F119</t>
  </si>
  <si>
    <t xml:space="preserve">RSNAT four-year Medicare savings, model states</t>
  </si>
  <si>
    <t xml:space="preserve">S41</t>
  </si>
  <si>
    <t xml:space="preserve">CMS press release, 22 Sep 2020</t>
  </si>
  <si>
    <t xml:space="preserve">With -63% use and -72% expenditures among ESRD and pressure-ulcer beneficiaries</t>
  </si>
  <si>
    <t xml:space="preserve">F120</t>
  </si>
  <si>
    <t xml:space="preserve">Rotary-wing Medicare FFS transports, total</t>
  </si>
  <si>
    <t xml:space="preserve">PSPS 2024, A0431, all O-D pairs</t>
  </si>
  <si>
    <t xml:space="preserve">F121</t>
  </si>
  <si>
    <t xml:space="preserve">Rotary-wing hospital-to-hospital transports</t>
  </si>
  <si>
    <t xml:space="preserve">PSPS 2024, A0431, HH</t>
  </si>
  <si>
    <t xml:space="preserve">34,856 in 2010: +25% over the window in which ground HH fell 7%</t>
  </si>
  <si>
    <t xml:space="preserve">F122</t>
  </si>
  <si>
    <t xml:space="preserve">Rotary-wing HH share of rotary transports</t>
  </si>
  <si>
    <t xml:space="preserve">Air is the high-acuity interfacility book; ground SCT is 6.6%</t>
  </si>
  <si>
    <t xml:space="preserve">F123</t>
  </si>
  <si>
    <t xml:space="preserve">Fixed-wing transfer-point-to-transfer-point (II) share</t>
  </si>
  <si>
    <t xml:space="preserve">A0430, modifier II</t>
  </si>
  <si>
    <t xml:space="preserve">Fixed-wing O-D modifiers identify runways, not facilities. DQ #29</t>
  </si>
  <si>
    <t xml:space="preserve">F124</t>
  </si>
  <si>
    <t xml:space="preserve">Rotary-wing commercial allowed over Medicare, base</t>
  </si>
  <si>
    <t xml:space="preserve">x</t>
  </si>
  <si>
    <t xml:space="preserve">S44</t>
  </si>
  <si>
    <t xml:space="preserve">FAIR Health air white paper: $18,668 over $3,739, same source, same year</t>
  </si>
  <si>
    <t xml:space="preserve">Pre-NSA benchmark</t>
  </si>
  <si>
    <t xml:space="preserve">F125</t>
  </si>
  <si>
    <t xml:space="preserve">Commercial ALS-emergency average allowed, ground</t>
  </si>
  <si>
    <t xml:space="preserve">INDUSTRY-A</t>
  </si>
  <si>
    <t xml:space="preserve">S43</t>
  </si>
  <si>
    <t xml:space="preserve">FAIR Health ground white paper, Mar 2022</t>
  </si>
  <si>
    <t xml:space="preserve">Up 56% from $486 in 2017 while Medicare grew 4.8%</t>
  </si>
  <si>
    <t xml:space="preserve">F126</t>
  </si>
  <si>
    <t xml:space="preserve">GAPB recommended patient cost-sharing cap</t>
  </si>
  <si>
    <t xml:space="preserve">S46</t>
  </si>
  <si>
    <t xml:space="preserve">GAPB report, 29 Mar 2024: lesser of $100 or 10% of allowed</t>
  </si>
  <si>
    <t xml:space="preserve">Interfacility transports named in scope; no federal enactment as of Jul 2026</t>
  </si>
  <si>
    <t xml:space="preserve">F127</t>
  </si>
  <si>
    <t xml:space="preserve">States with own ground balance-billing protections</t>
  </si>
  <si>
    <t xml:space="preserve">states</t>
  </si>
  <si>
    <t xml:space="preserve">S47</t>
  </si>
  <si>
    <t xml:space="preserve">Commonwealth Fund, Feb 2024</t>
  </si>
  <si>
    <t xml:space="preserve">Most set a payment standard; several tie to Medicare multiples</t>
  </si>
  <si>
    <t xml:space="preserve">F128</t>
  </si>
  <si>
    <t xml:space="preserve">Medicaid NEMT fee-for-service spending</t>
  </si>
  <si>
    <t xml:space="preserve">S48</t>
  </si>
  <si>
    <t xml:space="preserve">MACPAC June 2021 report, Ch.5 (T-MSIS)</t>
  </si>
  <si>
    <t xml:space="preserve">61.5M ride-days, 3.2M users. AMBULANCE IS EXCLUDED from this NEMT definition</t>
  </si>
  <si>
    <t xml:space="preserve">F129</t>
  </si>
  <si>
    <t xml:space="preserve">Population 65 and over, projection</t>
  </si>
  <si>
    <t xml:space="preserve">people</t>
  </si>
  <si>
    <t xml:space="preserve">S50</t>
  </si>
  <si>
    <t xml:space="preserve">Census NP2023-T2, main series</t>
  </si>
  <si>
    <t xml:space="preserve">57.8M (2022), 82.1M (2050). 2025-2030 CAGR 2.4%/yr</t>
  </si>
  <si>
    <t xml:space="preserve">F130</t>
  </si>
  <si>
    <t xml:space="preserve">Medicare Advantage share of eligible beneficiaries</t>
  </si>
  <si>
    <t xml:space="preserve">S51</t>
  </si>
  <si>
    <t xml:space="preserve">KFF from CMS enrollment files: 35.2M of 64.2M</t>
  </si>
  <si>
    <t xml:space="preserve">19% in 2007; CBO projects 63% by 2034. The deflator on every FFS series here</t>
  </si>
  <si>
    <t xml:space="preserve">F131</t>
  </si>
  <si>
    <t xml:space="preserve">Rural hospital closures and conversions since 2010</t>
  </si>
  <si>
    <t xml:space="preserve">S52</t>
  </si>
  <si>
    <t xml:space="preserve">Sheps Center tracker, accessed 10 Jul 2026</t>
  </si>
  <si>
    <t xml:space="preserve">86 complete + 68 converted; REH conversions excluded. Chartis counts 182 under a different convention: never mix</t>
  </si>
  <si>
    <t xml:space="preserve">F132</t>
  </si>
  <si>
    <t xml:space="preserve">Rural closure effect on EMS total activation time</t>
  </si>
  <si>
    <t xml:space="preserve">S53</t>
  </si>
  <si>
    <t xml:space="preserve">Miller et al., HSR 2020, doi:10.1111/1475-6773.13254</t>
  </si>
  <si>
    <t xml:space="preserve">PMID 31989591. Transport time +2.6 min; response time unchanged</t>
  </si>
  <si>
    <t xml:space="preserve">F133</t>
  </si>
  <si>
    <t xml:space="preserve">SMOCC immediate effect on interhospital transfer rate</t>
  </si>
  <si>
    <t xml:space="preserve">rate ratio</t>
  </si>
  <si>
    <t xml:space="preserve">S54</t>
  </si>
  <si>
    <t xml:space="preserve">Richert et al., JAMA Netw Open 2025;8(12):e2546002</t>
  </si>
  <si>
    <t xml:space="preserve">doi:10.1001/jamanetworkopen.2025.46002, PMID 41324958. 95% CI 1.05-1.74; long-term RR 0.94; 441,709 NEMSIS transfers, 8 states</t>
  </si>
  <si>
    <t xml:space="preserve">F134</t>
  </si>
  <si>
    <t xml:space="preserve">NHAMCS ambulance-arrival share of ED visits (final vintage)</t>
  </si>
  <si>
    <t xml:space="preserve">S55</t>
  </si>
  <si>
    <t xml:space="preserve">NHAMCS 2022 ED Summary Tables, Table 4</t>
  </si>
  <si>
    <t xml:space="preserve">SE 0.9 points on 155,398,000 visits; 65+ 33.4%. NEMSIS 2022 coverage (17.5%) sits inside the 95% CI. Survey discontinued after 2022</t>
  </si>
  <si>
    <t xml:space="preserve">F135</t>
  </si>
  <si>
    <t xml:space="preserve">Active ambulance LCDs in the Medicare Coverage Database</t>
  </si>
  <si>
    <t xml:space="preserve">LCDs</t>
  </si>
  <si>
    <t xml:space="preserve">S56</t>
  </si>
  <si>
    <t xml:space="preserve">MCD query, 09-10 Jul 2026; one billing article, A52917 (Noridian, rural air protocols)</t>
  </si>
  <si>
    <t xml:space="preserve">Ambulance coverage is national regulation (42 CFR 410.40), not MAC discretion</t>
  </si>
  <si>
    <t xml:space="preserve">Facts F136 to F147, revision 3 (10 July 2026).</t>
  </si>
  <si>
    <t xml:space="preserve">F136</t>
  </si>
  <si>
    <t xml:space="preserve">Original Medicare A and B enrollment (annual average)</t>
  </si>
  <si>
    <t xml:space="preserve">beneficiaries</t>
  </si>
  <si>
    <t xml:space="preserve">S60</t>
  </si>
  <si>
    <t xml:space="preserve">CMS Medicare Monthly Enrollment, national, Year rows</t>
  </si>
  <si>
    <t xml:space="preserve">The carrier-claims denominator</t>
  </si>
  <si>
    <t xml:space="preserve">F137</t>
  </si>
  <si>
    <t xml:space="preserve">Minus 15.5% from 2019. First increase in the series lands in 2025 (27,914,766)</t>
  </si>
  <si>
    <t xml:space="preserve">F138</t>
  </si>
  <si>
    <t xml:space="preserve">All O-D coded transports per 1,000 A and B FFS beneficiaries</t>
  </si>
  <si>
    <t xml:space="preserve">per 1,000</t>
  </si>
  <si>
    <t xml:space="preserve">436.2 in 2019: minus 11.9% per capita against minus 25.6% raw</t>
  </si>
  <si>
    <t xml:space="preserve">F139</t>
  </si>
  <si>
    <t xml:space="preserve">HH transports per 1,000 A and B FFS beneficiaries</t>
  </si>
  <si>
    <t xml:space="preserve">34.2 in 2019: minus 8.0% per capita against minus 22.3% raw</t>
  </si>
  <si>
    <t xml:space="preserve">F140</t>
  </si>
  <si>
    <t xml:space="preserve">Dialysis-pair transports per 1,000 A and B FFS beneficiaries</t>
  </si>
  <si>
    <t xml:space="preserve">71.2 in 2019: minus 56.5% per capita. The collapse survives normalization</t>
  </si>
  <si>
    <t xml:space="preserve">F141</t>
  </si>
  <si>
    <t xml:space="preserve">HH emergency-coded share (ALS-E + BLS-E + ALS2)</t>
  </si>
  <si>
    <t xml:space="preserve">Six-base-code convention</t>
  </si>
  <si>
    <t xml:space="preserve">28.6% in 2019: +2.4 points</t>
  </si>
  <si>
    <t xml:space="preserve">F142</t>
  </si>
  <si>
    <t xml:space="preserve">NH (SNF to hospital) emergency-coded share</t>
  </si>
  <si>
    <t xml:space="preserve">HN (hospital to SNF) is 98.4% BLS non-emergency: the two directions are clinical opposites</t>
  </si>
  <si>
    <t xml:space="preserve">F143</t>
  </si>
  <si>
    <t xml:space="preserve">Dialysis-pair BLS non-emergency share</t>
  </si>
  <si>
    <t xml:space="preserve">The RSNAT target profile</t>
  </si>
  <si>
    <t xml:space="preserve">F144</t>
  </si>
  <si>
    <t xml:space="preserve">Ground ambulance billing NPIs (base codes, MUP floor)</t>
  </si>
  <si>
    <t xml:space="preserve">NPIs</t>
  </si>
  <si>
    <t xml:space="preserve">MUP-PHY 2024; rows with 10 or fewer beneficiaries suppressed</t>
  </si>
  <si>
    <t xml:space="preserve">9,028 in 2019</t>
  </si>
  <si>
    <t xml:space="preserve">F145</t>
  </si>
  <si>
    <t xml:space="preserve">Top-10 billing NPIs, share of approved ground services</t>
  </si>
  <si>
    <t xml:space="preserve">5.3% in 2019. Floor on corporate concentration: NPI is not parent company</t>
  </si>
  <si>
    <t xml:space="preserve">F146</t>
  </si>
  <si>
    <t xml:space="preserve">NPIs billing BLS non-emergency (A0428)</t>
  </si>
  <si>
    <t xml:space="preserve">3,075 in 2019: minus 12.7%, the supplier-side RSNAT exit</t>
  </si>
  <si>
    <t xml:space="preserve">F147</t>
  </si>
  <si>
    <t xml:space="preserve">Ground add-on payments statutory expiration</t>
  </si>
  <si>
    <t xml:space="preserve">date: 1 Jan 2028</t>
  </si>
  <si>
    <t xml:space="preserve">S61</t>
  </si>
  <si>
    <t xml:space="preserve">CAA 2026, section 6203; CMS AFS page</t>
  </si>
  <si>
    <t xml:space="preserve">Extended through 31 Dec 2027 after an Oct 2025 lapse; 2% urban, 3% rural, 22.6% super-rural</t>
  </si>
  <si>
    <t xml:space="preserve">Facts F148 to F163, revision 4 (10 July 2026).</t>
  </si>
  <si>
    <t xml:space="preserve">F148</t>
  </si>
  <si>
    <t xml:space="preserve">Paid EMT and paramedic employment (combined)</t>
  </si>
  <si>
    <t xml:space="preserve">jobs</t>
  </si>
  <si>
    <t xml:space="preserve">S67</t>
  </si>
  <si>
    <t xml:space="preserve">OEWS May 2019, 29-2040</t>
  </si>
  <si>
    <t xml:space="preserve">Workforce_Supply</t>
  </si>
  <si>
    <t xml:space="preserve">Excludes volunteers and self-employed</t>
  </si>
  <si>
    <t xml:space="preserve">F149</t>
  </si>
  <si>
    <t xml:space="preserve">S68</t>
  </si>
  <si>
    <t xml:space="preserve">181,000 EMTs + 101,900 paramedics</t>
  </si>
  <si>
    <t xml:space="preserve">+8.6% vs 2019. The paid workforce grew</t>
  </si>
  <si>
    <t xml:space="preserve">F150</t>
  </si>
  <si>
    <t xml:space="preserve">Paramedic median annual wage</t>
  </si>
  <si>
    <t xml:space="preserve">OEWS May 2024 via OOH</t>
  </si>
  <si>
    <t xml:space="preserve">No 2019 twin: occupation split in the 2018 SOC</t>
  </si>
  <si>
    <t xml:space="preserve">F151</t>
  </si>
  <si>
    <t xml:space="preserve">EMT median annual wage</t>
  </si>
  <si>
    <t xml:space="preserve">$35,400 combined median in 2019 (F152)</t>
  </si>
  <si>
    <t xml:space="preserve">F152</t>
  </si>
  <si>
    <t xml:space="preserve">EMT and paramedic combined median annual wage</t>
  </si>
  <si>
    <t xml:space="preserve">F153</t>
  </si>
  <si>
    <t xml:space="preserve">Ambulance Inflation Factor, compounded CY2020-CY2024</t>
  </si>
  <si>
    <t xml:space="preserve">0.9, 0.2, 5.1, 8.7, 2.6 compounded</t>
  </si>
  <si>
    <t xml:space="preserve">Slightly ahead of EMT median wage growth (+16.8%) on this window; see the Panel B read</t>
  </si>
  <si>
    <t xml:space="preserve">F154</t>
  </si>
  <si>
    <t xml:space="preserve">Ground ambulance billing NPIs</t>
  </si>
  <si>
    <t xml:space="preserve">MUP-PHY 2014, six ground base codes</t>
  </si>
  <si>
    <t xml:space="preserve">Supplier_Series_Raw</t>
  </si>
  <si>
    <t xml:space="preserve">8,721 in 2024: minus 6.3% over the decade</t>
  </si>
  <si>
    <t xml:space="preserve">F155</t>
  </si>
  <si>
    <t xml:space="preserve">BLS non-emergency billers, 2014 to 2024</t>
  </si>
  <si>
    <t xml:space="preserve">3,329 to 2,683 NPIs</t>
  </si>
  <si>
    <t xml:space="preserve">Supplier_Trend</t>
  </si>
  <si>
    <t xml:space="preserve">Fell every single year; the scheduled-transport exit</t>
  </si>
  <si>
    <t xml:space="preserve">F156</t>
  </si>
  <si>
    <t xml:space="preserve">Population in ambulance deserts (25+ minutes from a station)</t>
  </si>
  <si>
    <t xml:space="preserve">S65</t>
  </si>
  <si>
    <t xml:space="preserve">41 states, 2021-22; 2.3M rural</t>
  </si>
  <si>
    <t xml:space="preserve">Imbalance_Ledger</t>
  </si>
  <si>
    <t xml:space="preserve">UNDERCOUNT: nine states lack data</t>
  </si>
  <si>
    <t xml:space="preserve">F157</t>
  </si>
  <si>
    <t xml:space="preserve">California cumulative offload delay beyond 30 minutes</t>
  </si>
  <si>
    <t xml:space="preserve">hours per 6 months</t>
  </si>
  <si>
    <t xml:space="preserve">S71</t>
  </si>
  <si>
    <t xml:space="preserve">CEMSIS, Apr-Sep 2024</t>
  </si>
  <si>
    <t xml:space="preserve">19.1% of offloads exceed the standard (F158). CEMSIS participants only</t>
  </si>
  <si>
    <t xml:space="preserve">F158</t>
  </si>
  <si>
    <t xml:space="preserve">California offloads exceeding the 30-minute standard</t>
  </si>
  <si>
    <t xml:space="preserve">Statewide mean offload 42.8 minutes, 2021-2023 (S72)</t>
  </si>
  <si>
    <t xml:space="preserve">F159</t>
  </si>
  <si>
    <t xml:space="preserve">Staffed hospital beds, pre-pandemic mean to post-PHE</t>
  </si>
  <si>
    <t xml:space="preserve">beds</t>
  </si>
  <si>
    <t xml:space="preserve">S63</t>
  </si>
  <si>
    <t xml:space="preserve">802,000 (2009-2019 mean) to 674,000</t>
  </si>
  <si>
    <t xml:space="preserve">Supply_Stack</t>
  </si>
  <si>
    <t xml:space="preserve">Minus 16% on mandated reporting; AHA surveys say minus 2% (Fault_Audit F)</t>
  </si>
  <si>
    <t xml:space="preserve">F160</t>
  </si>
  <si>
    <t xml:space="preserve">National hospital occupancy, post-PHE steady state</t>
  </si>
  <si>
    <t xml:space="preserve">63.9% pre-pandemic mean</t>
  </si>
  <si>
    <t xml:space="preserve">Demand_Stack</t>
  </si>
  <si>
    <t xml:space="preserve">Census flat at about 510,000: the rise is a bed-supply story</t>
  </si>
  <si>
    <t xml:space="preserve">F161</t>
  </si>
  <si>
    <t xml:space="preserve">Hospital-at-home waiver statutory expiration</t>
  </si>
  <si>
    <t xml:space="preserve">date: 30 Sep 2030</t>
  </si>
  <si>
    <t xml:space="preserve">S64</t>
  </si>
  <si>
    <t xml:space="preserve">CAA 2026 sec. 6210</t>
  </si>
  <si>
    <t xml:space="preserve">About 400 approved hospitals; every H@H day creates home transport legs</t>
  </si>
  <si>
    <t xml:space="preserve">F162</t>
  </si>
  <si>
    <t xml:space="preserve">OP-18 boarding-measure removal</t>
  </si>
  <si>
    <t xml:space="preserve">reporting year</t>
  </si>
  <si>
    <t xml:space="preserve">CY2026 OPPS final rule</t>
  </si>
  <si>
    <t xml:space="preserve">Fault_Audit</t>
  </si>
  <si>
    <t xml:space="preserve">Successor ECAT eCQM measures boarding directly; mandatory CY2028</t>
  </si>
  <si>
    <t xml:space="preserve">F163</t>
  </si>
  <si>
    <t xml:space="preserve">Medicare beneficiaries per ground billing NPI</t>
  </si>
  <si>
    <t xml:space="preserve">68.0M over 8,721</t>
  </si>
  <si>
    <t xml:space="preserve">6,814 in 2019: +14.4%. Need per supplier is rising</t>
  </si>
  <si>
    <t xml:space="preserve">F164</t>
  </si>
  <si>
    <t xml:space="preserve">Official state-file national ground services (approved)</t>
  </si>
  <si>
    <t xml:space="preserve">services</t>
  </si>
  <si>
    <t xml:space="preserve">S73</t>
  </si>
  <si>
    <t xml:space="preserve">MUP by Geography and Service, six ground codes</t>
  </si>
  <si>
    <t xml:space="preserve">State_Saturation_Raw</t>
  </si>
  <si>
    <t xml:space="preserve">9,542,103 in the NPI file: the Geography file suppresses less</t>
  </si>
  <si>
    <t xml:space="preserve">F165</t>
  </si>
  <si>
    <t xml:space="preserve">NPI-file suppression tail (Geography file over NPI file)</t>
  </si>
  <si>
    <t xml:space="preserve">S62, S73</t>
  </si>
  <si>
    <t xml:space="preserve">State_Saturation</t>
  </si>
  <si>
    <t xml:space="preserve">Bounds DQ #32: supplier-file undercount is about 1% of services nationally</t>
  </si>
  <si>
    <t xml:space="preserve">Source register</t>
  </si>
  <si>
    <t xml:space="preserve">The full citations. Every source used anywhere in this workbook, written out with publisher, document, edition, locator, URL, and evidence tier. The one-row-per-source summary lives on Source_Index; this tab is the complete reference text.</t>
  </si>
  <si>
    <t xml:space="preserve">Publisher</t>
  </si>
  <si>
    <t xml:space="preserve">Document</t>
  </si>
  <si>
    <t xml:space="preserve">Edition / data year</t>
  </si>
  <si>
    <t xml:space="preserve">What it supplies</t>
  </si>
  <si>
    <t xml:space="preserve">URL</t>
  </si>
  <si>
    <t xml:space="preserve">AHRQ (HCUP)</t>
  </si>
  <si>
    <t xml:space="preserve">NEDS Weighted Summary Statistics, Core File</t>
  </si>
  <si>
    <t xml:space="preserve">Data years 2007-2023</t>
  </si>
  <si>
    <t xml:space="preserve">DISP_ED weighted frequency distribution</t>
  </si>
  <si>
    <t xml:space="preserve">ED disposition counts: transfer to short-term hospital (2), transfer to other facility (5), admitted same hospital (9), destination unknown (98+99)</t>
  </si>
  <si>
    <t xml:space="preserve">https://hcup-us.ahrq.gov/db/nation/neds/stats/</t>
  </si>
  <si>
    <t xml:space="preserve">Introduction to the NEDS, 2022</t>
  </si>
  <si>
    <t xml:space="preserve">Published 18 Nov 2024</t>
  </si>
  <si>
    <t xml:space="preserve">Table 1, Table A5, Table A6</t>
  </si>
  <si>
    <t xml:space="preserve">Weighted and unweighted ED visits, EDs sampled, partner states, target universe, frame coverage, ED disposition totals</t>
  </si>
  <si>
    <t xml:space="preserve">https://hcup-us.ahrq.gov/db/nation/neds/</t>
  </si>
  <si>
    <t xml:space="preserve">Introduction to the NEDS, 2023</t>
  </si>
  <si>
    <t xml:space="preserve">Published 14 Jan 2026</t>
  </si>
  <si>
    <t xml:space="preserve">Table A6, Table A7, Table D4, p.7</t>
  </si>
  <si>
    <t xml:space="preserve">Same as S02 for data year 2023, plus injury visits with 95% CI and the NEISS-AIP comparator</t>
  </si>
  <si>
    <t xml:space="preserve">NIS Weighted Summary Statistics, Core File</t>
  </si>
  <si>
    <t xml:space="preserve">DISPUNIFORM, TRAN_IN, TRAN_OUT, I10_BIRTH frequency distributions</t>
  </si>
  <si>
    <t xml:space="preserve">Inpatient discharge disposition (transfer to short-term hospital = 2, other facility = 5), transfers in by point of origin, total weighted discharges, in-hospital births</t>
  </si>
  <si>
    <t xml:space="preserve">https://hcup-us.ahrq.gov/db/nation/nis/</t>
  </si>
  <si>
    <t xml:space="preserve">S05</t>
  </si>
  <si>
    <t xml:space="preserve">American Hospital Association</t>
  </si>
  <si>
    <t xml:space="preserve">TrendWatch Chartbook 2020, Appendix</t>
  </si>
  <si>
    <t xml:space="preserve">2020 vintage, covers 1995-2018</t>
  </si>
  <si>
    <t xml:space="preserve">Appendix Table 3.1</t>
  </si>
  <si>
    <t xml:space="preserve">Inpatient admissions in community hospitals, 2007 to 2018 (restated vintage)</t>
  </si>
  <si>
    <t xml:space="preserve">https://www.aha.org/system/files/media/file/2020/10/TrendwatchChartbook-2020-Appendix.pdf</t>
  </si>
  <si>
    <t xml:space="preserve">S06</t>
  </si>
  <si>
    <t xml:space="preserve">Fast Facts on U.S. Hospitals, 2021 edition</t>
  </si>
  <si>
    <t xml:space="preserve">FY2019 AHA Annual Survey</t>
  </si>
  <si>
    <t xml:space="preserve">Admissions line items</t>
  </si>
  <si>
    <t xml:space="preserve">Total admissions all hospitals; admissions in community hospitals</t>
  </si>
  <si>
    <t xml:space="preserve">https://www.aha.org/system/files/media/file/2021/01/Fast-Facts-2021-table-FY19-data-14jan21.pdf</t>
  </si>
  <si>
    <t xml:space="preserve">S07</t>
  </si>
  <si>
    <t xml:space="preserve">Fast Facts on U.S. Hospitals, 2022 edition</t>
  </si>
  <si>
    <t xml:space="preserve">2020 AHA Annual Survey</t>
  </si>
  <si>
    <t xml:space="preserve">Total and community hospital admissions, 2020</t>
  </si>
  <si>
    <t xml:space="preserve">https://www.aha.org/system/files/media/file/2022/01/fast-facts-on-US-hospitals-2022.pdf</t>
  </si>
  <si>
    <t xml:space="preserve">S08</t>
  </si>
  <si>
    <t xml:space="preserve">Fast Facts on U.S. Hospitals, 2023 edition</t>
  </si>
  <si>
    <t xml:space="preserve">2021 AHA Annual Survey</t>
  </si>
  <si>
    <t xml:space="preserve">Total and community hospital admissions, 2021</t>
  </si>
  <si>
    <t xml:space="preserve">https://www.aha.org/system/files/media/file/2023/05/Fast-Facts-on-US-Hospitals-2023.pdf</t>
  </si>
  <si>
    <t xml:space="preserve">Fast Facts on U.S. Hospitals, 2024 edition</t>
  </si>
  <si>
    <t xml:space="preserve">2022 AHA Annual Survey</t>
  </si>
  <si>
    <t xml:space="preserve">Total and community hospital admissions, 2022</t>
  </si>
  <si>
    <t xml:space="preserve">https://www.aha.org/system/files/media/file/2024/01/fast-facts-on-us-hospitals-2024-20240112.pdf</t>
  </si>
  <si>
    <t xml:space="preserve">S10</t>
  </si>
  <si>
    <t xml:space="preserve">Fast Facts on U.S. Hospitals, 2025 edition</t>
  </si>
  <si>
    <t xml:space="preserve">2023 AHA Annual Survey</t>
  </si>
  <si>
    <t xml:space="preserve">Total and community hospital admissions, 2023</t>
  </si>
  <si>
    <t xml:space="preserve">https://www.aha.org/system/files/media/file/2025/01/Fast-Facts-on-US-Hospitals-2025.pdf</t>
  </si>
  <si>
    <t xml:space="preserve">Fast Facts on U.S. Hospitals, 2026 edition</t>
  </si>
  <si>
    <t xml:space="preserve">2024 AHA Annual Survey</t>
  </si>
  <si>
    <t xml:space="preserve">Total and community hospital admissions, 2024</t>
  </si>
  <si>
    <t xml:space="preserve">https://www.aha.org/system/files/media/file/2026/02/Fast-Facts-on-US-Hospitals-2026.pdf</t>
  </si>
  <si>
    <t xml:space="preserve">NHTSA Office of EMS</t>
  </si>
  <si>
    <t xml:space="preserve">NEMSIS Annual Public Data Report, 2019 through 2024</t>
  </si>
  <si>
    <t xml:space="preserve">Six annual editions</t>
  </si>
  <si>
    <t xml:space="preserve">eResponse.05, eResponse.23, eDisposition.21, eDisposition.32, eDisposition.12, eDisposition.29, cover exhibit</t>
  </si>
  <si>
    <t xml:space="preserve">EMS activations by type of service, transport mode, destination type, level of care, disposition; participating states and agencies</t>
  </si>
  <si>
    <t xml:space="preserve">https://nemsis.org/using-ems-data/articles-and-publications</t>
  </si>
  <si>
    <t xml:space="preserve">CMS</t>
  </si>
  <si>
    <t xml:space="preserve">Physician / Supplier Procedure Summary (PSPS)</t>
  </si>
  <si>
    <t xml:space="preserve">Data years 2022, 2023, 2024</t>
  </si>
  <si>
    <t xml:space="preserve">Ambulance base-rate HCPCS by initial modifier</t>
  </si>
  <si>
    <t xml:space="preserve">Medicare fee-for-service ambulance submitted services by origin-destination modifier pair and by acuity HCPCS</t>
  </si>
  <si>
    <t xml:space="preserve">https://data.cms.gov</t>
  </si>
  <si>
    <t xml:space="preserve">S14</t>
  </si>
  <si>
    <t xml:space="preserve">Ambulance Fee Schedule, 42 CFR 414 Subpart H</t>
  </si>
  <si>
    <t xml:space="preserve">Current</t>
  </si>
  <si>
    <t xml:space="preserve">RVU table</t>
  </si>
  <si>
    <t xml:space="preserve">Relative value units by ambulance HCPCS (A0426 through A0434)</t>
  </si>
  <si>
    <t xml:space="preserve">https://www.ecfr.gov/current/title-42/part-414/subpart-H</t>
  </si>
  <si>
    <t xml:space="preserve">S15</t>
  </si>
  <si>
    <t xml:space="preserve">Ambulance Inflation Factor annual update</t>
  </si>
  <si>
    <t xml:space="preserve">CY2020 through CY2025</t>
  </si>
  <si>
    <t xml:space="preserve">Annual AFS update notice</t>
  </si>
  <si>
    <t xml:space="preserve">AIF percentage by calendar year</t>
  </si>
  <si>
    <t xml:space="preserve">https://www.cms.gov/medicare/payment/fee-schedules/ambulance</t>
  </si>
  <si>
    <t xml:space="preserve">S16</t>
  </si>
  <si>
    <t xml:space="preserve">US Congress</t>
  </si>
  <si>
    <t xml:space="preserve">42 U.S.C. 1395m(l)(12)-(13)</t>
  </si>
  <si>
    <t xml:space="preserve">Statute</t>
  </si>
  <si>
    <t xml:space="preserve">Subsections (12) and (13)</t>
  </si>
  <si>
    <t xml:space="preserve">Statutory ground ambulance add-ons: +2% urban, +3% rural, +22.6% super-rural</t>
  </si>
  <si>
    <t xml:space="preserve">https://uscode.house.gov</t>
  </si>
  <si>
    <t xml:space="preserve">S17</t>
  </si>
  <si>
    <t xml:space="preserve">Consolidated Appropriations Act, 2021 (No Surprises Act)</t>
  </si>
  <si>
    <t xml:space="preserve">Enacted Dec 2020</t>
  </si>
  <si>
    <t xml:space="preserve">Balance-billing provisions</t>
  </si>
  <si>
    <t xml:space="preserve">Ground ambulance is excluded from federal balance-billing protection; air ambulance is covered</t>
  </si>
  <si>
    <t xml:space="preserve">https://www.congress.gov</t>
  </si>
  <si>
    <t xml:space="preserve">S18</t>
  </si>
  <si>
    <t xml:space="preserve">42 CFR 410.40; Medicare Benefit Policy Manual Ch. 10</t>
  </si>
  <si>
    <t xml:space="preserve">410.40 and 410.40(e)</t>
  </si>
  <si>
    <t xml:space="preserve">Ambulance medical-necessity coverage conditions; Physician Certification Statement requirement</t>
  </si>
  <si>
    <t xml:space="preserve">https://www.ecfr.gov/current/title-42/section-410.40</t>
  </si>
  <si>
    <t xml:space="preserve">S19</t>
  </si>
  <si>
    <t xml:space="preserve">RSNAT prior authorization model</t>
  </si>
  <si>
    <t xml:space="preserve">Nationwide since 2021</t>
  </si>
  <si>
    <t xml:space="preserve">Program description</t>
  </si>
  <si>
    <t xml:space="preserve">Prior authorization for repetitive scheduled non-emergent BLS transport</t>
  </si>
  <si>
    <t xml:space="preserve">https://www.cms.gov</t>
  </si>
  <si>
    <t xml:space="preserve">S20</t>
  </si>
  <si>
    <t xml:space="preserve">42 U.S.C. 1395dd (EMTALA)</t>
  </si>
  <si>
    <t xml:space="preserve">Appropriate-transfer provisions</t>
  </si>
  <si>
    <t xml:space="preserve">Conditions a hospital must meet to transfer an unstabilized emergency patient</t>
  </si>
  <si>
    <t xml:space="preserve">S21</t>
  </si>
  <si>
    <t xml:space="preserve">MedPAC</t>
  </si>
  <si>
    <t xml:space="preserve">Payment Basics: Ambulance Services</t>
  </si>
  <si>
    <t xml:space="preserve">October 2024</t>
  </si>
  <si>
    <t xml:space="preserve">Fact sheet</t>
  </si>
  <si>
    <t xml:space="preserve">Medicare FFS ambulance spend approximately $4.0B in 2023, approximately 1% of FFS spend, approximately 13% of FFS beneficiaries used ambulance</t>
  </si>
  <si>
    <t xml:space="preserve">https://www.medpac.gov</t>
  </si>
  <si>
    <t xml:space="preserve">S22</t>
  </si>
  <si>
    <t xml:space="preserve">Ground Ambulance Data Collection System (GADCS), Years 1-2</t>
  </si>
  <si>
    <t xml:space="preserve">Reported cost data</t>
  </si>
  <si>
    <t xml:space="preserve">Cost-per-transport and cost-composition tables</t>
  </si>
  <si>
    <t xml:space="preserve">Mean cost per transport, cost per transport by ownership type, labor share of cost</t>
  </si>
  <si>
    <t xml:space="preserve">https://www.cms.gov/medicare/payment/fee-schedules/ambulance/ground-ambulance-services-data-collection-system</t>
  </si>
  <si>
    <t xml:space="preserve">HCRIS Hospital Cost Reports (Form 2552-10)</t>
  </si>
  <si>
    <t xml:space="preserve">FY2020 to FY2022 panel</t>
  </si>
  <si>
    <t xml:space="preserve">total_patient_days / bed_days_available</t>
  </si>
  <si>
    <t xml:space="preserve">National and state inpatient occupancy, filer counts</t>
  </si>
  <si>
    <t xml:space="preserve">https://www.cms.gov/data-research/statistics-trends-and-reports/cost-reports</t>
  </si>
  <si>
    <t xml:space="preserve">Provider of Services and provider enrollment rolls</t>
  </si>
  <si>
    <t xml:space="preserve">As vendored</t>
  </si>
  <si>
    <t xml:space="preserve">Certified provider counts by setting</t>
  </si>
  <si>
    <t xml:space="preserve">National counts of SNF, IRF, LTACH, home health agency, hospice providers</t>
  </si>
  <si>
    <t xml:space="preserve">NCHS (CDC)</t>
  </si>
  <si>
    <t xml:space="preserve">NHAMCS ED Summary Tables, 2016</t>
  </si>
  <si>
    <t xml:space="preserve">Table 5</t>
  </si>
  <si>
    <t xml:space="preserve">ED visits arriving by ambulance versus other mode; the independent ambulance-arrival share anchor</t>
  </si>
  <si>
    <t xml:space="preserve">https://www.cdc.gov/nchs/ahcd/</t>
  </si>
  <si>
    <t xml:space="preserve">S26</t>
  </si>
  <si>
    <t xml:space="preserve">NHAMCS and NHIS ED visit estimates</t>
  </si>
  <si>
    <t xml:space="preserve">2022, 2023</t>
  </si>
  <si>
    <t xml:space="preserve">As reproduced in the NEDS Introduction comparison table</t>
  </si>
  <si>
    <t xml:space="preserve">Independent ED-visit benchmarks used to bound the four-source spread</t>
  </si>
  <si>
    <t xml:space="preserve">https://www.cdc.gov/nchs/</t>
  </si>
  <si>
    <t xml:space="preserve">NLM</t>
  </si>
  <si>
    <t xml:space="preserve">ICD-10-CM and ICD-10-PCS code set (Clinical Tables)</t>
  </si>
  <si>
    <t xml:space="preserve">Code validation</t>
  </si>
  <si>
    <t xml:space="preserve">Confirms the 92 diagnosis codes used in the clinical spine are real, billable codes</t>
  </si>
  <si>
    <t xml:space="preserve">https://clinicaltables.nlm.nih.gov/</t>
  </si>
  <si>
    <t xml:space="preserve">Payment Basics: Ambulance Services Payment System</t>
  </si>
  <si>
    <t xml:space="preserve">Revised October 2024</t>
  </si>
  <si>
    <t xml:space="preserve">p.1, Table 1, Figure 1</t>
  </si>
  <si>
    <t xml:space="preserve">Medicare FFS ambulance spend ($3.9B, 2022); RVU table; CY2024 conversion factors; ground mileage rate; add-ons; ESRD reduction; Part A bundling rule; 70% labor-related portion of the base payment</t>
  </si>
  <si>
    <t xml:space="preserve">https://www.medpac.gov/wp-content/uploads/2024/10/MedPAC_Payment_Basics_24_ambulance_FINAL_SEC.pdf</t>
  </si>
  <si>
    <t xml:space="preserve">Medicare Claims Processing Manual, Pub. 100-04, Chapter 15</t>
  </si>
  <si>
    <t xml:space="preserve">Section 20.4</t>
  </si>
  <si>
    <t xml:space="preserve">Complete Ambulance Inflation Factor history, CY2003 through CY2026</t>
  </si>
  <si>
    <t xml:space="preserve">https://www.cms.gov/files/document/r13464cp.pdf</t>
  </si>
  <si>
    <t xml:space="preserve">RAND Corporation for CMS</t>
  </si>
  <si>
    <t xml:space="preserve">Medicare Ground Ambulance Data Collection System (GADCS) Report: Year 1 and Year 2 Cohort Analysis</t>
  </si>
  <si>
    <t xml:space="preserve">Released 19 December 2024</t>
  </si>
  <si>
    <t xml:space="preserve">Cost per transport tables</t>
  </si>
  <si>
    <t xml:space="preserve">Mean cost per ground ambulance transport, overall and by ownership type. 3,694 responding organizations, 85% of those selected, 2022 and 2023 data</t>
  </si>
  <si>
    <t xml:space="preserve">https://www.cms.gov/files/document/medicare-ground-ambulance-data-collection-system-gadcs-report-year-1-and-year-2-cohort-analysis.pdf</t>
  </si>
  <si>
    <t xml:space="preserve">Tier A = document and table or page both pinned. Tier B = document named, locator not pinned in the source workbooks; verify before external citation. SOURCED = analyst computation on a vendored CMS file, not a published figure.</t>
  </si>
  <si>
    <t xml:space="preserve">S28, S29 and S30 were opened and read on 09 July 2026. Every other source in this register is asserted by the uploaded workbooks and was not independently checked. See Verification_Log.</t>
  </si>
  <si>
    <t xml:space="preserve">Verification. S01 through S04 (HCUP), S05 through S11 (AHA), S12 (NEMSIS), S13 (CMS PSPS), S14 (RVUs), S28 (MedPAC), S29 (CMS manual) and S30 (RAND GADCS) were all opened and read on 09 July 2026. S13 was rebuilt from 110,568 raw claim rows via the CMS API.</t>
  </si>
  <si>
    <t xml:space="preserve">Direct locators. NEDS stats: hcup-us.ahrq.gov/db/nation/neds/stats/NEDS_{year}_MaskedStats_Core_Weighted.PDF. NIS stats: hcup-us.ahrq.gov/db/nation/nis/tools/stats/. NEDS Introduction 2023: hcup-us.ahrq.gov/db/nation/neds/NEDSIntroduction2023.pdf. PSPS: data.cms.gov/data-api/revision 1/dataset/164fc736-4179-4100-9f79-592b69e41975/data.</t>
  </si>
  <si>
    <t xml:space="preserve">S31. MedPAC, June 2026 Report to the Congress, Chapter 6: Mandated report: Assessment of the Medicare Ground Ambulance Data Collection System. Published 15 June 2026. NOT reflected in this workbook. It is the authoritative source on Medicare ground ambulance payment adequacy and should be pulled before external use.</t>
  </si>
  <si>
    <t xml:space="preserve">S31. MedPAC, Report to the Congress: Medicare and the Health Care Delivery System, June 2026. Chapter 6, Mandated report: Assessment of the Medicare Ground Ambulance Data Collection System. Published 15 June 2026. Tables 6-6, 6-10, 6-11 and Recommendation 6. Downloaded and read 09 July 2026. Lives on MedPAC_2026_Mandated.</t>
  </si>
  <si>
    <t xml:space="preserve">S32. CMS Physician/Supplier Procedure Summary, data years 2010 through 2024, fifteen annual datasets pulled from the data.cms.gov API on 09 July 2026 and filtered on the HH origin-destination modifier. Lives on Medicare_IFT_Series.</t>
  </si>
  <si>
    <t xml:space="preserve">S33. CMS, Timely and Effective Care, national, state and hospital files. Measures OP-18a, OP-18b, OP-18c, OP-18d and OP-22. Measurement period 01 July 2024 to 30 June 2025 (OP-22: calendar 2024). Retrieved from the CMS provider-data API on 09 July 2026. Dataset identifiers isrn-hqyy (national), apyc-v239 (state), yv7e-xc69 (hospital). Lives on Demand_Drivers.</t>
  </si>
  <si>
    <t xml:space="preserve">S34. American Hospital Association, Fast Facts on U.S. Hospitals, 2020 edition (survey year 2018). Opened and read 09 July 2026. Provides the 2018 baseline for community hospitals, staffed beds and system affiliation.</t>
  </si>
  <si>
    <t xml:space="preserve">S35. Clark NM, Hernandez AH, Bertalan MS, Wang V, Greenberg SLM, Ibrahim AM, Stewart BT, Scott JW. Travel Time as an Indicator of Poor Access to Care in Surgical Emergencies. JAMA Network Open. 2025;8(1):e2455258. doi:10.1001/jamanetworkopen.2024.55258. PMID 39836423. Retrieved from PubMed.</t>
  </si>
  <si>
    <t xml:space="preserve">S36. Quinn SA, Edwards JD, Buccini P, Parmley MK, Leonard K, Irish W, Toschlog EA. The Impact of Delays in Interfacility Transfer on Outcomes in Elderly Trauma Patients. The American Surgeon. 2022;88(7):1471-1474. doi:10.1177/00031348221082278. PMID 35324338. Retrieved from PubMed.</t>
  </si>
  <si>
    <t xml:space="preserve">S37. Puls HA, Haas NL, Cranford JA, Medlin RP, Bassin BS. Emergency department length of stay and outcomes of emergency department-based intensive care unit patients. JACEP Open. 2022;3(1):e12684. doi:10.1002/emp2.12684. PMID 35229083. Retrieved from PubMed.</t>
  </si>
  <si>
    <t xml:space="preserve">S38. Burgess L, Ray-Barruel G, Kynoch K. Association between emergency department length of stay and patient outcomes: A systematic review. Research in Nursing &amp; Health. 2022;45(1):59-93. doi:10.1002/nur.22201. PMID 34932834. Retrieved from PubMed. See also Iozzo P, et al. J Clin Med. 2024;13(5):1269. doi:10.3390/jcm13051269.</t>
  </si>
  <si>
    <t xml:space="preserve">Sources S39 to S58, revision 2 (10 July 2026). All opened and read on 09 to 10 July 2026 unless noted.</t>
  </si>
  <si>
    <t xml:space="preserve">S39. CMS, Physician/Supplier Procedure Summary, data years 2019 through 2024, full ambulance pull: 392,409 claim-summary rows across six datasets, all twelve ambulance HCPCS, all modifiers, from https://data.cms.gov/data-api/revision 1/dataset/{uuid}/data on 10 July 2026. UUIDs: 2019 0ce67ad8-524b-4d4f-8ac8-55f4a68f0711; 2020 5eb3eebe-20cb-405c-864f-444873134f24; 2021 72200613-6706-4ad2-8219-e200cc4391cc; 2022, 2023, 2024 as on Verification_Log. Lives on Medicare_OD_Matrix and Dialysis_ESRD_Channel. Tier A.</t>
  </si>
  <si>
    <t xml:space="preserve">S40. CMS, Physician/Supplier Procedure Summary, air ambulance HCPCS A0430, A0431, A0435, A0436, data years 2010 through 2024, same API, pulled 10 July 2026. Lives on Air_Ambulance_IFT. Tier A.</t>
  </si>
  <si>
    <t xml:space="preserve">S41. CMS, RSNAT Prior Authorization Model page (rollout dates: 1 Dec 2021; 1 Feb 2022; from Apr 2022) and CMS press release of 22 September 2020 (63% use reduction, 72% expenditure reduction, about $650M saved over four years). cms.gov. Tier A.</t>
  </si>
  <si>
    <t xml:space="preserve">S42. Contreary K, Asher A, Coopersmith J. Evaluation of Prior Authorization in Medicare Nonemergent Ambulance Transport. JAMA Health Forum. 2022;3(7):e222093. doi:10.1001/jamahealthforum.2022.2093. PMID 35977218. Retrieved from PubMed 10 July 2026. Tier A.</t>
  </si>
  <si>
    <t xml:space="preserve">S43. FAIR Health. Ground Ambulance Services in the United States: A Study of Private Healthcare Claims. White paper, March 2022. https://s3.amazonaws.com/media2.fairhealth.org/whitepaper/asset/Ground%20Ambulance%20Services%20in%20the%20United%20States%20-%20A%20FAIR%20Health%20White%20Paper.pdf. Tier A.</t>
  </si>
  <si>
    <t xml:space="preserve">S44. FAIR Health. Air Ambulance Services in the United States: A Study of Private and Medicare Claims. White paper, 28 September 2021. fairhealth.org. Tier A.</t>
  </si>
  <si>
    <t xml:space="preserve">S45. FAIR Health. A Window into Utilization and Cost of Ground Ambulance Services. Brief, 2023 (data 2018-2022; presented to the GAPB subcommittee 2 August 2023). https://s3.amazonaws.com/media2.fairhealth.org/brief/asset/A%20Window%20into%20Utilization%20and%20Cost%20of%20Ground%20Ambulance%20Services%20-%20A%20FAIR%20Health%20Brief.pdf. Tier A.</t>
  </si>
  <si>
    <t xml:space="preserve">S46. Ground Ambulance and Patient Billing (GAPB) Advisory Committee. Report on Prevention of Out-Of-Network Ground Ambulance Emergency Service Balance Billing. Dated 29 March 2024, transmitted 28 August 2024. https://www.cms.gov/files/document/report-advisory-committee-ground-ambulance-and-patient-billing.pdf. Tier A.</t>
  </si>
  <si>
    <t xml:space="preserve">S47. Hoadley J, Stovicek N. Commonwealth Fund To the Point blog, 15 February 2024 (14 states with protections; 28% out-of-network exposure estimate). commonwealthfund.org. Tier B: secondary compilation; state counts move.</t>
  </si>
  <si>
    <t xml:space="preserve">S48. MACPAC. Report to Congress on Medicaid and CHIP, June 2021, Chapter 5: Mandated Report on Non-Emergency Medical Transportation. https://www.macpac.gov/wp-content/uploads/2021/06/Chapter-5-Mandated-Report-on-Non-Emergency-Medical-Transportation.pdf. Tier A.</t>
  </si>
  <si>
    <t xml:space="preserve">S49. HHS/CMS. Medicaid Non-Emergency Medical Transportation: Expanded Report to Congress (data 2018-2021). https://www.medicaid.gov/medicaid/benefits/downloads/nemt-rtc-2018-2021.pdf. Tier A.</t>
  </si>
  <si>
    <t xml:space="preserve">S50. U.S. Census Bureau. 2023 National Population Projections, Table NP2023-T2 (Projected Population by Age Group and Sex, Main Series). https://www2.census.gov/programs-surveys/popproj/tables/2023/2023-summary-tables/np2023-t2.xlsx. Opened and parsed 10 July 2026. Tier A.</t>
  </si>
  <si>
    <t xml:space="preserve">S51. KFF. Medicare Advantage in 2026: Enrollment Update and Key Trends (from CMS enrollment files). kff.org, July 2026. Tier A.</t>
  </si>
  <si>
    <t xml:space="preserve">S52. Cecil G. Sheps Center for Health Services Research, UNC. Rural Hospital Closures tracker. https://www.shepscenter.unc.edu/programs-projects/rural-health/rural-hospital-closures/. Accessed 10 July 2026. Tier A for the counts as printed that day.</t>
  </si>
  <si>
    <t xml:space="preserve">S53. Miller KEM, James HJ, Holmes GM, Van Houtven CH. The effect of rural hospital closures on emergency medical service response and transport times. Health Serv Res. 2020;55(2):288-300. doi:10.1111/1475-6773.13254. PMID 31989591. Retrieved from PubMed 10 July 2026. Tier A.</t>
  </si>
  <si>
    <t xml:space="preserve">S54. Richert ME, Diao G, Mancera A, et al. Statewide Transfer Coordination and Patient Transfer Rates Among Hospitals During Occupancy Stress. JAMA Netw Open. 2025;8(12):e2546002. doi:10.1001/jamanetworkopen.2025.46002. PMID 41324958. Retrieved from PubMed 10 July 2026. Tier A.</t>
  </si>
  <si>
    <t xml:space="preserve">S55. NCHS. National Hospital Ambulatory Medical Care Survey: 2022 Emergency Department Summary Tables, Table 4 (mode of arrival). https://www.cdc.gov/nchs/data/nhamcs/web_tables/2022-nhamcs-ed-web-tables.pdf. Opened and parsed 10 July 2026. Final NHAMCS vintage. Tier A.</t>
  </si>
  <si>
    <t xml:space="preserve">S56. CMS. Medicare Claims Processing Manual, Pub. 100-04, Chapter 15, Section 30 (ambulance origin and destination modifiers); and CMS Medicare Coverage Database query of 09-10 July 2026 returning zero active ambulance LCDs and one billing article (A52917). Tier A.</t>
  </si>
  <si>
    <t xml:space="preserve">S57. National Uniform Billing Committee code sets (Patient Discharge Status; Point of Origin) as published in CMS manuals and ResDAC data documentation. Tier A for code definitions.</t>
  </si>
  <si>
    <t xml:space="preserve">S58. NUCC Health Care Provider Taxonomy code set; NPPES API queried 10 July 2026 (example active records: NPI 1700930153, taxonomy 341600000X; NPI 1477814945, taxonomy 3416L0300X). Tier A for the two live-validated codes; Tier B for air and water taxonomy codes (listed, not queried).</t>
  </si>
  <si>
    <t xml:space="preserve">Sources S59 to S61, revision 3 (10 July 2026).</t>
  </si>
  <si>
    <t xml:space="preserve">S59. CMS, Medicare Physician and Other Practitioners by Provider and Service, data years 2019 (UUID 867b8ac7-ccb7-4cc9-873d-b24340d89e32) and 2024 (UUID 335e5f35-eca6-482d-87b3-f99883e213e3), all eight ambulance base HCPCS, 44,614 NPI-by-code rows, pulled from the data.cms.gov API on 10 July 2026. Approved (final-action) services; NPI-code rows with 10 or fewer beneficiaries are suppressed. Lives on Supplier_Landscape. Tier A.</t>
  </si>
  <si>
    <t xml:space="preserve">S60. CMS, Medicare Monthly Enrollment, national annual-average rows, 2013 through 2025 (UUID d7fabe1e-d19b-4333-9eff-e80e0643f2fd), pulled from the data.cms.gov API on 10 July 2026. Fields carried: total beneficiaries, Original Medicare Part A and B, Original Medicare any part, MA and other. Lives on Utilization_Normalized. Tier A.</t>
  </si>
  <si>
    <t xml:space="preserve">S61. CMS, Ambulance Fee Schedule Public Use Files page (add-on status: Consolidated Appropriations Act, 2026, section 6203 extends the 1834(l)(13)(A) add-ons through 31 December 2027; expiration 1 January 2028 absent legislation), read 10 July 2026, cms.gov/medicare/payment/fee-schedules/ambulance. Lapse history corroborated by American Ambulance Association and California DIR notices. Tier A for the statutory status.</t>
  </si>
  <si>
    <t xml:space="preserve">Sources S62 to S72, revision 4 (10 July 2026).</t>
  </si>
  <si>
    <t xml:space="preserve">S62. CMS, Medicare Physician and Other Practitioners by Provider and Service, data years 2014 through 2023 plus the 2024 geographic fields, six ground base HCPCS per year, pulled from the data.cms.gov API on 10 July 2026. Dataset UUIDs recorded on Verification_Log Panel H. Lives on Supplier_Series_Raw, State_Saturation_Raw, MSA_Landscape. Tier A.</t>
  </si>
  <si>
    <t xml:space="preserve">S63. Leuchter RK, Delarmente B, Vangala S, Tsugawa Y, Sarkisian CA. Health Care Staffing Shortages and Potential National Hospital Bed Shortage. JAMA Network Open. 2025 (published 19 February 2025). doi:10.1001/jamanetworkopen.2024.60645. Mandated HHS/CDC occupancy reporting, Aug 2020 to Apr 2024: occupancy 63.9% pre-pandemic mean to 75.3% post-PHE; staffed beds 802,000 to 674,000; census about 510,000. Tier A. The conflicting AHA survey figure (about minus 2% beds) is logged on Fault_Audit item F.</t>
  </si>
  <si>
    <t xml:space="preserve">S64. CMS, CY 2026 OPPS/ASC Final Rule fact sheet (released 21 November 2025): OP-18 and OP-22 removed beginning the CY2028 reporting period; Emergency Care Access and Timeliness eCQM voluntary CY2027, mandatory CY2028. And: Consolidated Appropriations Act, 2026, section 6210 (P.L. 119-75) with 42 U.S.C. 1395cc-7 and the CMS QualityNet AHCAH page: hospital-at-home waiver extended through 30 September 2030. Program counts: 366 programs, 139 systems, 37 states (AMA, March 2026); 419, 147, 39 (AHA, September 2025). Tier A for the rules; Tier B for the moving counts.</t>
  </si>
  <si>
    <t xml:space="preserve">S65. Jonk Y, Milkowski C, Croll Z, Pearson K. Ambulance Deserts: Geographic Disparities in the Provision of Ambulance Services. Chartbook, Maine Rural Health Research Center, University of Southern Maine, May 2023. HRSA FORHP grant U1CRH03716. 41 states, 2021-2022 licensure data: 4.5 million people beyond 25 minutes from an ambulance station (2.3M rural, 2.2M urban); 82% of measured counties contain a desert; 8 states under 3 ambulances per 1,000 square miles. NINE STATES LACK DATA: national figures are undercounts. Gateway summary verified 10 July 2026; full chartbook PDF pending retrieval; state tables are pending item P2. Tier A.</t>
  </si>
  <si>
    <t xml:space="preserve">S66. United States Renal Data System, 2024 Annual Data Report (summary: AJKD 2025) and 2023 ADR release (NIDDK): ESRD prevalence declining from 2020 driven by in-center hemodialysis; ESRD Medicare Advantage enrollment 18.3% (2020) to 24.5% (2021); dialysis clinic count up almost 10% 2017 to 2022. Exact prevalent in-center HD counts by year: pending item P5. Tier A.</t>
  </si>
  <si>
    <t xml:space="preserve">S67. U.S. Bureau of Labor Statistics, Occupational Employment and Wage Statistics, May 2019, occupation 29-2040 (EMTs and Paramedics, combined). National employment 260,600; mean $38,830; median $35,400; industry and state tables as carried on Workforce_Supply. Page read 10 July 2026. Tier A.</t>
  </si>
  <si>
    <t xml:space="preserve">S68. U.S. Bureau of Labor Statistics, Occupational Outlook Handbook, EMTs and Paramedics (May 2024 OEWS base): EMTs 181,000 jobs, median $41,340; paramedics 101,900 jobs, median $58,410; projected +5% 2024-2034 with about 19,000 openings per year. Tier A.</t>
  </si>
  <si>
    <t xml:space="preserve">S69. National Rural Health Association policy paper, EMS Services in Rural America: Challenges and Opportunities (2019), citing Patterson et al.: 53% of isolated small rural EMS agencies staffed by volunteers only against 14% urban; volunteers cover more than 90% of calls in the most sparsely populated areas. Tier B: policy compilation of an academic survey.</t>
  </si>
  <si>
    <t xml:space="preserve">S70. NASEMSO, 2020 National EMS Assessment. REGISTERED PENDING: the canonical agency and personnel census; pending programmatic retrieval; corroborated indirectly by the CDC EMS disparities page that cites it. Pending item P6. No figure in this workbook rests on it yet.</t>
  </si>
  <si>
    <t xml:space="preserve">S71. California EMS Authority, Report to the Commission on EMS: Ambulance Patient Offload Delays, December 2024 (CEMSIS data, run date 10 October 2024): statewide 19.1% of offloads exceed the 30-minute standard, April to September 2024; cumulative delay beyond 30 minutes 13,364 hours 40 minutes over the six months; LEMSA and hospital-level tables. Plus emsa.ca.gov/apot (methodology, AB 1223 of 2015; H&amp;S Code 1797.120). Tier A; CEMSIS participants only, a floor.</t>
  </si>
  <si>
    <t xml:space="preserve">S72. Patterns in California Ambulance Patient Offload Times by Local Emergency Medical Services Agency. JAMA Network Open, 2024 (PMC11650417): 5,913,399 offloads, 34 LEMSAs, Jan 2021 to Jun 2023; statewide mean offload 42.8 minutes; 16 of 34 LEMSAs above the 30-minute standard. Tier A.</t>
  </si>
  <si>
    <t xml:space="preserve">S73. CMS, Medicare Physician and Other Practitioners by Geography and Service, data year 2024 (UUID 0c75b0b3-b40f-4007-a5ac-f9f2fed95862), state-level rows for the six ground base HCPCS, pulled from the data.cms.gov API on 10 July 2026. National sum 9,637,009 approved services against 9,542,103 in the NPI-level file: a 1.0% gap attributable to the NPI file's small-cell suppression. Lives on State_Saturation_Raw column H. Tier A.</t>
  </si>
  <si>
    <t xml:space="preserve">S74. Gilkey S, Armstrong M, Alexander R, et al. Impact of COVID-19 pandemic on traumatic brain injury emergency department visits, interfacility transfer and mortality in the United States, 2016-2020. BMJ Open. 2024;14(11):e090141. doi:10.1136/bmjopen-2024-090141. PMC11605837. Retrieved via the PubMed connector, 10 July 2026. Lives on Condition_Transfer_Anchors. Tier A.</t>
  </si>
  <si>
    <t xml:space="preserve">S75. Acharya P, Griffin R, Finch M, et al. Estimating the National Burden of Potentially Avoidable Interfacility Transfer Among Patients with Isolated Facial Injury in the US. Journal of the American College of Surgeons. 2026;242(5):1265-1278. doi:10.1097/XCS.0000000000001700. Retrieved via the PubMed connector, 10 July 2026. Lives on Condition_Transfer_Anchors. Tier A.</t>
  </si>
  <si>
    <t xml:space="preserve">S76. Evans CS, Hart K, Self WH, Nikpay S, Thompson CM, Ward MJ. Burn related injuries: a nationwide analysis of adult inter-facility transfers over a six-year period in the United States. BMC Emergency Medicine. 2022;22:147. doi:10.1186/s12873-022-00705-6. PMC9380358. Retrieved via the PubMed connector, 10 July 2026. Lives on Condition_Transfer_Anchors. Tier A.</t>
  </si>
  <si>
    <t xml:space="preserve">S77. KFF, Health Policy 101: The Uninsured Population and Health Coverage (2023 data; updated 2025), with Census Bureau ACS 2023-2024 coverage estimates: employer coverage about 54% of the population, Medicaid about 20% (including about 12 million dual-eligibles classified as Medicaid), Medicare about 15%, non-group about 6%, military about 1%, uninsured 8.0% (about 26 million); Peterson-KFF companion analysis: about 3 million privately insured ED ambulance transports a year. Read 10 July 2026. Lives on TAM_Model_National. Tier A.</t>
  </si>
  <si>
    <t xml:space="preserve">All 77 sources, identified. One row each.</t>
  </si>
  <si>
    <t xml:space="preserve">The question: can every source be seen at a glance? All 73 sources, one row each, with publisher, document, vintage, locator, tier, date accessed, and the tabs each one powers. Tier counts at the bottom are recomputed programmatically, not typed.</t>
  </si>
  <si>
    <t xml:space="preserve">ID</t>
  </si>
  <si>
    <t xml:space="preserve">Vintage</t>
  </si>
  <si>
    <t xml:space="preserve">Accessed</t>
  </si>
  <si>
    <t xml:space="preserve">Powers</t>
  </si>
  <si>
    <t xml:space="preserve">09 Jul 2026</t>
  </si>
  <si>
    <t xml:space="preserve">Acute_IFT_Series, Cross_Source_Recon, Code_Crosswalks</t>
  </si>
  <si>
    <t xml:space="preserve">Tables 1, A5, A6</t>
  </si>
  <si>
    <t xml:space="preserve">EMS_Transports, Cross_Source_Recon</t>
  </si>
  <si>
    <t xml:space="preserve">Tables A6, A7, D4, p.7</t>
  </si>
  <si>
    <t xml:space="preserve">Acute_IFT_Series, Data_Quality_Register</t>
  </si>
  <si>
    <t xml:space="preserve">DISPUNIFORM, TRAN_IN, TRAN_OUT, I10_BIRTH</t>
  </si>
  <si>
    <t xml:space="preserve">Acute_IFT_Series, Receiving_Side, Code_Crosswalks</t>
  </si>
  <si>
    <t xml:space="preserve">Covers 1995-2018</t>
  </si>
  <si>
    <t xml:space="preserve">Fast Facts on U.S. Hospitals, 2021 ed.</t>
  </si>
  <si>
    <t xml:space="preserve">FY2019 survey</t>
  </si>
  <si>
    <t xml:space="preserve">Fast Facts on U.S. Hospitals, 2022 ed.</t>
  </si>
  <si>
    <t xml:space="preserve">2020 survey</t>
  </si>
  <si>
    <t xml:space="preserve">Fast Facts on U.S. Hospitals, 2023 ed.</t>
  </si>
  <si>
    <t xml:space="preserve">2021 survey</t>
  </si>
  <si>
    <t xml:space="preserve">Fast Facts on U.S. Hospitals, 2024 ed.</t>
  </si>
  <si>
    <t xml:space="preserve">2022 survey</t>
  </si>
  <si>
    <t xml:space="preserve">Fast Facts on U.S. Hospitals, 2025 ed.</t>
  </si>
  <si>
    <t xml:space="preserve">2023 survey</t>
  </si>
  <si>
    <t xml:space="preserve">Fast Facts on U.S. Hospitals, 2026 ed.</t>
  </si>
  <si>
    <t xml:space="preserve">2024 survey</t>
  </si>
  <si>
    <t xml:space="preserve">NEMSIS Annual Public Data Report</t>
  </si>
  <si>
    <t xml:space="preserve">2019 through 2024 editions</t>
  </si>
  <si>
    <t xml:space="preserve">eResponse.05, eResponse.23, eDisposition.12/21/29/32</t>
  </si>
  <si>
    <t xml:space="preserve">EMS_Transports, Code_Crosswalks, Cross_Source_Recon</t>
  </si>
  <si>
    <t xml:space="preserve">Physician/Supplier Procedure Summary</t>
  </si>
  <si>
    <t xml:space="preserve">Data years 2022-2024</t>
  </si>
  <si>
    <t xml:space="preserve">Ambulance base HCPCS by initial modifier</t>
  </si>
  <si>
    <t xml:space="preserve">Payment_Rules, Code_Crosswalks</t>
  </si>
  <si>
    <t xml:space="preserve">CY2020-CY2025</t>
  </si>
  <si>
    <t xml:space="preserve">Subsections (12), (13)</t>
  </si>
  <si>
    <t xml:space="preserve">42 CFR 410.40; Benefit Policy Manual Ch. 10</t>
  </si>
  <si>
    <t xml:space="preserve">Payment_Rules, Findings</t>
  </si>
  <si>
    <t xml:space="preserve">Ground Ambulance Data Collection System, Years 1-2</t>
  </si>
  <si>
    <t xml:space="preserve">Cost-per-transport tables</t>
  </si>
  <si>
    <t xml:space="preserve">HCRIS Hospital Cost Reports (2552-10)</t>
  </si>
  <si>
    <t xml:space="preserve">FY2020-FY2022 panel</t>
  </si>
  <si>
    <t xml:space="preserve">Vendored</t>
  </si>
  <si>
    <t xml:space="preserve">Provider of Services and enrollment rolls</t>
  </si>
  <si>
    <t xml:space="preserve">As reproduced in the NEDS Introduction</t>
  </si>
  <si>
    <t xml:space="preserve">Current, FY2026</t>
  </si>
  <si>
    <t xml:space="preserve">Clinical_Volumes_TierC, Code_Crosswalks</t>
  </si>
  <si>
    <t xml:space="preserve">Payment_Rules, Dialysis_ESRD_Channel</t>
  </si>
  <si>
    <t xml:space="preserve">Claims Processing Manual, Pub. 100-04, Ch. 15</t>
  </si>
  <si>
    <t xml:space="preserve">GADCS Report: Year 1 and Year 2 Cohort Analysis</t>
  </si>
  <si>
    <t xml:space="preserve">Released 19 Dec 2024</t>
  </si>
  <si>
    <t xml:space="preserve">June 2026 Report to the Congress, Chapter 6</t>
  </si>
  <si>
    <t xml:space="preserve">Published 15 Jun 2026</t>
  </si>
  <si>
    <t xml:space="preserve">Tables 6-6, 6-10, 6-11; Recommendation 6</t>
  </si>
  <si>
    <t xml:space="preserve">MedPAC_2026_Mandated, Cost_and_Capacity</t>
  </si>
  <si>
    <t xml:space="preserve">PSPS, HH modifier extraction</t>
  </si>
  <si>
    <t xml:space="preserve">Data years 2010-2024</t>
  </si>
  <si>
    <t xml:space="preserve">Fifteen annual datasets, data.cms.gov API</t>
  </si>
  <si>
    <t xml:space="preserve">Timely and Effective Care files</t>
  </si>
  <si>
    <t xml:space="preserve">01 Jul 2024 to 30 Jun 2025</t>
  </si>
  <si>
    <t xml:space="preserve">OP-18a/b/c/d, OP-22; datasets isrn-hqyy, apyc-v239</t>
  </si>
  <si>
    <t xml:space="preserve">Demand_Drivers, Dataset_Linkage_Map</t>
  </si>
  <si>
    <t xml:space="preserve">Fast Facts on U.S. Hospitals, 2020 ed.</t>
  </si>
  <si>
    <t xml:space="preserve">Survey year 2018</t>
  </si>
  <si>
    <t xml:space="preserve">Community hospitals, staffed beds, system affiliation</t>
  </si>
  <si>
    <t xml:space="preserve">JAMA Network Open</t>
  </si>
  <si>
    <t xml:space="preserve">Clark NM et al. Travel Time as an Indicator of Poor Access to Care in Surgical Emergencies</t>
  </si>
  <si>
    <t xml:space="preserve">2025;8(1):e2455258</t>
  </si>
  <si>
    <t xml:space="preserve">doi:10.1001/jamanetworkopen.2024.55258; PMID 39836423</t>
  </si>
  <si>
    <t xml:space="preserve">S36</t>
  </si>
  <si>
    <t xml:space="preserve">The American Surgeon</t>
  </si>
  <si>
    <t xml:space="preserve">Quinn SA et al. The Impact of Delays in Interfacility Transfer on Outcomes in Elderly Trauma Patients</t>
  </si>
  <si>
    <t xml:space="preserve">2022;88(7):1471-1474</t>
  </si>
  <si>
    <t xml:space="preserve">doi:10.1177/00031348221082278; PMID 35324338</t>
  </si>
  <si>
    <t xml:space="preserve">S37</t>
  </si>
  <si>
    <t xml:space="preserve">JACEP Open</t>
  </si>
  <si>
    <t xml:space="preserve">Puls HA et al. ED length of stay and outcomes of ED-based ICU patients</t>
  </si>
  <si>
    <t xml:space="preserve">2022;3(1):e12684</t>
  </si>
  <si>
    <t xml:space="preserve">doi:10.1002/emp2.12684; PMID 35229083</t>
  </si>
  <si>
    <t xml:space="preserve">S38</t>
  </si>
  <si>
    <t xml:space="preserve">Research in Nursing &amp; Health</t>
  </si>
  <si>
    <t xml:space="preserve">Burgess L et al. Association between ED length of stay and patient outcomes: systematic review</t>
  </si>
  <si>
    <t xml:space="preserve">2022;45(1):59-93</t>
  </si>
  <si>
    <t xml:space="preserve">doi:10.1002/nur.22201; PMID 34932834</t>
  </si>
  <si>
    <t xml:space="preserve">PSPS, full ambulance pull, 392,409 rows</t>
  </si>
  <si>
    <t xml:space="preserve">Data years 2019-2024</t>
  </si>
  <si>
    <t xml:space="preserve">All 12 ambulance HCPCS, all modifiers; UUIDs on Verification_Log Panel F</t>
  </si>
  <si>
    <t xml:space="preserve">10 Jul 2026</t>
  </si>
  <si>
    <t xml:space="preserve">Medicare_OD_Matrix, Dialysis_ESRD_Channel, Acuity_by_Channel, Utilization_Normalized</t>
  </si>
  <si>
    <t xml:space="preserve">PSPS, air ambulance pull</t>
  </si>
  <si>
    <t xml:space="preserve">A0430, A0431, A0435, A0436</t>
  </si>
  <si>
    <t xml:space="preserve">RSNAT model page and press release of 22 Sep 2020</t>
  </si>
  <si>
    <t xml:space="preserve">Rollout 2021-2022</t>
  </si>
  <si>
    <t xml:space="preserve">63% use reduction, 72% expenditure reduction, about $650M</t>
  </si>
  <si>
    <t xml:space="preserve">JAMA Health Forum</t>
  </si>
  <si>
    <t xml:space="preserve">Contreary K, Asher A, Coopersmith J. Evaluation of Prior Authorization in Medicare Nonemergent Ambulance Transport</t>
  </si>
  <si>
    <t xml:space="preserve">2022;3(7):e222093</t>
  </si>
  <si>
    <t xml:space="preserve">doi:10.1001/jamahealthforum.2022.2093; PMID 35977218</t>
  </si>
  <si>
    <t xml:space="preserve">FAIR Health</t>
  </si>
  <si>
    <t xml:space="preserve">Ground Ambulance Services in the United States (white paper)</t>
  </si>
  <si>
    <t xml:space="preserve">March 2022; data 2017-2020</t>
  </si>
  <si>
    <t xml:space="preserve">ALS-E and BLS-E allowed and charge; ALS share of lines</t>
  </si>
  <si>
    <t xml:space="preserve">Air Ambulance Services in the United States (white paper)</t>
  </si>
  <si>
    <t xml:space="preserve">28 September 2021; data 2017-2020</t>
  </si>
  <si>
    <t xml:space="preserve">Rotary and fixed-wing allowed, charge, Medicare</t>
  </si>
  <si>
    <t xml:space="preserve">Air_Ambulance_IFT, Payer_Rates_Commercial</t>
  </si>
  <si>
    <t xml:space="preserve">S45</t>
  </si>
  <si>
    <t xml:space="preserve">A Window into Utilization and Cost of Ground Ambulance Services (brief)</t>
  </si>
  <si>
    <t xml:space="preserve">2023; data 2018-2022</t>
  </si>
  <si>
    <t xml:space="preserve">State ALS-E allowed; mileage per statute mile</t>
  </si>
  <si>
    <t xml:space="preserve">GAPB Advisory Committee (CMS/DOL/Treasury)</t>
  </si>
  <si>
    <t xml:space="preserve">Report on Prevention of Out-Of-Network Ground Ambulance Balance Billing</t>
  </si>
  <si>
    <t xml:space="preserve">Dated 29 Mar 2024; transmitted 28 Aug 2024</t>
  </si>
  <si>
    <t xml:space="preserve">14 recommendations; cost-sharing cap</t>
  </si>
  <si>
    <t xml:space="preserve">Commonwealth Fund</t>
  </si>
  <si>
    <t xml:space="preserve">Hoadley J, Stovicek N. To the Point</t>
  </si>
  <si>
    <t xml:space="preserve">15 February 2024</t>
  </si>
  <si>
    <t xml:space="preserve">14 states; 28% out-of-network exposure estimate</t>
  </si>
  <si>
    <t xml:space="preserve">MACPAC</t>
  </si>
  <si>
    <t xml:space="preserve">Report to Congress, June 2021, Chapter 5 (NEMT)</t>
  </si>
  <si>
    <t xml:space="preserve">FY2018 T-MSIS data</t>
  </si>
  <si>
    <t xml:space="preserve">$2.6B, 61.5M ride-days, 3.2M users; ambulance excluded</t>
  </si>
  <si>
    <t xml:space="preserve">S49</t>
  </si>
  <si>
    <t xml:space="preserve">HHS / CMS</t>
  </si>
  <si>
    <t xml:space="preserve">Medicaid NEMT: Expanded Report to Congress</t>
  </si>
  <si>
    <t xml:space="preserve">Data 2018-2021</t>
  </si>
  <si>
    <t xml:space="preserve">State ride-day rates, delivery models</t>
  </si>
  <si>
    <t xml:space="preserve">U.S. Census Bureau</t>
  </si>
  <si>
    <t xml:space="preserve">2023 National Population Projections, Table NP2023-T2</t>
  </si>
  <si>
    <t xml:space="preserve">2023 vintage</t>
  </si>
  <si>
    <t xml:space="preserve">Main series, 65+ and total, 2022-2050</t>
  </si>
  <si>
    <t xml:space="preserve">KFF</t>
  </si>
  <si>
    <t xml:space="preserve">Medicare Advantage in 2026: Enrollment Update and Key Trends</t>
  </si>
  <si>
    <t xml:space="preserve">July 2026</t>
  </si>
  <si>
    <t xml:space="preserve">55% of eligibles; 35.2M of 64.2M; CBO 63% by 2034</t>
  </si>
  <si>
    <t xml:space="preserve">UNC Sheps Center</t>
  </si>
  <si>
    <t xml:space="preserve">Rural Hospital Closures tracker</t>
  </si>
  <si>
    <t xml:space="preserve">Live, accessed 10 Jul 2026</t>
  </si>
  <si>
    <t xml:space="preserve">197 since 2005; 154 since 2010</t>
  </si>
  <si>
    <t xml:space="preserve">Health Services Research</t>
  </si>
  <si>
    <t xml:space="preserve">Miller KEM et al. The effect of rural hospital closures on EMS response and transport times</t>
  </si>
  <si>
    <t xml:space="preserve">2020;55(2):288-300</t>
  </si>
  <si>
    <t xml:space="preserve">doi:10.1111/1475-6773.13254; PMID 31989591</t>
  </si>
  <si>
    <t xml:space="preserve">Richert ME et al. Statewide Transfer Coordination and Patient Transfer Rates</t>
  </si>
  <si>
    <t xml:space="preserve">2025;8(12):e2546002</t>
  </si>
  <si>
    <t xml:space="preserve">doi:10.1001/jamanetworkopen.2025.46002; PMID 41324958</t>
  </si>
  <si>
    <t xml:space="preserve">NHAMCS 2022 ED Summary Tables</t>
  </si>
  <si>
    <t xml:space="preserve">2022, final vintage</t>
  </si>
  <si>
    <t xml:space="preserve">Table 4, mode of arrival</t>
  </si>
  <si>
    <t xml:space="preserve">Macro_Demand_Drivers, EMS_Transports</t>
  </si>
  <si>
    <t xml:space="preserve">Claims Processing Manual Pub. 100-04 Ch. 15 Sec. 30; Medicare Coverage Database</t>
  </si>
  <si>
    <t xml:space="preserve">Current; MCD queried 09-10 Jul 2026</t>
  </si>
  <si>
    <t xml:space="preserve">O-D modifier definitions; zero ambulance LCDs; article A52917</t>
  </si>
  <si>
    <t xml:space="preserve">Code_Crosswalks, Findings</t>
  </si>
  <si>
    <t xml:space="preserve">S57</t>
  </si>
  <si>
    <t xml:space="preserve">National Uniform Billing Committee</t>
  </si>
  <si>
    <t xml:space="preserve">UB-04 code sets (Patient Discharge Status; Point of Origin)</t>
  </si>
  <si>
    <t xml:space="preserve">As published in CMS manuals and ResDAC documentation</t>
  </si>
  <si>
    <t xml:space="preserve">S58</t>
  </si>
  <si>
    <t xml:space="preserve">NUCC / CMS NPPES</t>
  </si>
  <si>
    <t xml:space="preserve">Health Care Provider Taxonomy; NPPES registry</t>
  </si>
  <si>
    <t xml:space="preserve">Live</t>
  </si>
  <si>
    <t xml:space="preserve">341600000X and 3416L0300X validated on active NPIs</t>
  </si>
  <si>
    <t xml:space="preserve">Code_Crosswalks, Dataset_Linkage_Map</t>
  </si>
  <si>
    <t xml:space="preserve">Medicare Physician and Other Practitioners, by Provider and Service</t>
  </si>
  <si>
    <t xml:space="preserve">Data years 2019 and 2024</t>
  </si>
  <si>
    <t xml:space="preserve">8 ambulance base HCPCS; 44,614 NPI-by-code rows</t>
  </si>
  <si>
    <t xml:space="preserve">Medicare Monthly Enrollment</t>
  </si>
  <si>
    <t xml:space="preserve">2013-2025, national annual rows</t>
  </si>
  <si>
    <t xml:space="preserve">Total, Original A and B, Original any part, MA and other</t>
  </si>
  <si>
    <t xml:space="preserve">Ambulance Fee Schedule Public Use Files page</t>
  </si>
  <si>
    <t xml:space="preserve">Read 10 Jul 2026</t>
  </si>
  <si>
    <t xml:space="preserve">CAA 2026 sec. 6203; add-ons through 31 Dec 2027</t>
  </si>
  <si>
    <t xml:space="preserve">Tier counts: 65 Tier A, 8 Tier B, 2 SOURCED (vendored, not reopened), 1 PENDING (S70, registered but unread; nothing rests on it). Fifteen sources are peer-reviewed journal articles with identifiers recorded. Twenty-nine are CMS documents or datasets. Nothing rests on a trade press article, a vendor white paper without published data, or an unnamed industry estimate. Counts recomputed programmatically, 10 July 2026.</t>
  </si>
  <si>
    <t xml:space="preserve">How to audit any figure in three steps. Find the Fact ID on the tab. Look it up on the Fact_Ledger to get the Source ID and locator. Find the Source ID here and on Source_Register for the full citation and URL. If the fact is DERIVED, the Fact_Ledger names the inputs and the cell on the tab shows the formula.</t>
  </si>
  <si>
    <t xml:space="preserve">MUP-PHY, data years 2014-2023 + 2024 geo fields</t>
  </si>
  <si>
    <t xml:space="preserve">Pulled 10 Jul 2026</t>
  </si>
  <si>
    <t xml:space="preserve">Six ground base HCPCS; UUIDs on Verification_Log Panel H</t>
  </si>
  <si>
    <t xml:space="preserve">Supplier_Series_Raw, State_Saturation_Raw, MSA_Landscape</t>
  </si>
  <si>
    <t xml:space="preserve">Leuchter RK et al. Health Care Staffing Shortages and Potential National Hospital Bed Shortage</t>
  </si>
  <si>
    <t xml:space="preserve">doi:10.1001/jamanetworkopen.2024.60645</t>
  </si>
  <si>
    <t xml:space="preserve">Demand_Stack, Supply_Stack</t>
  </si>
  <si>
    <t xml:space="preserve">CMS / US Congress</t>
  </si>
  <si>
    <t xml:space="preserve">CY2026 OPPS final rule fact sheet; CAA 2026 sec. 6210; 42 U.S.C. 1395cc-7; QualityNet AHCAH page</t>
  </si>
  <si>
    <t xml:space="preserve">Nov 2025-Feb 2026</t>
  </si>
  <si>
    <t xml:space="preserve">OP-18 sunset; ECAT eCQM; H@H to 30 Sep 2030</t>
  </si>
  <si>
    <t xml:space="preserve">Fault_Audit, Demand_Stack, Payment_Rules</t>
  </si>
  <si>
    <t xml:space="preserve">Maine Rural Health Research Center (USM)</t>
  </si>
  <si>
    <t xml:space="preserve">Jonk Y et al. Ambulance Deserts chartbook</t>
  </si>
  <si>
    <t xml:space="preserve">May 2023; data 2021-22</t>
  </si>
  <si>
    <t xml:space="preserve">4.5M in deserts; 82% of counties; 41 states measured</t>
  </si>
  <si>
    <t xml:space="preserve">Imbalance_Ledger, Supply_Stack</t>
  </si>
  <si>
    <t xml:space="preserve">S66</t>
  </si>
  <si>
    <t xml:space="preserve">USRDS / NIDDK</t>
  </si>
  <si>
    <t xml:space="preserve">2024 Annual Data Report (AJKD summary); 2023 ADR release</t>
  </si>
  <si>
    <t xml:space="preserve">Data through 2022-23</t>
  </si>
  <si>
    <t xml:space="preserve">In-center HD decline; ESRD MA 18.3 to 24.5% (2021); clinics +10%</t>
  </si>
  <si>
    <t xml:space="preserve">Demand_Stack, Dialysis_ESRD_Channel</t>
  </si>
  <si>
    <t xml:space="preserve">BLS</t>
  </si>
  <si>
    <t xml:space="preserve">OEWS May 2019, occupation 29-2040</t>
  </si>
  <si>
    <t xml:space="preserve">May 2019</t>
  </si>
  <si>
    <t xml:space="preserve">260,600 jobs; median $35,400; state and industry tables</t>
  </si>
  <si>
    <t xml:space="preserve">Occupational Outlook Handbook, EMTs and Paramedics</t>
  </si>
  <si>
    <t xml:space="preserve">May 2024 OEWS base</t>
  </si>
  <si>
    <t xml:space="preserve">181,000 + 101,900 jobs; medians; +5% 2024-34</t>
  </si>
  <si>
    <t xml:space="preserve">S69</t>
  </si>
  <si>
    <t xml:space="preserve">National Rural Health Association</t>
  </si>
  <si>
    <t xml:space="preserve">EMS Services in Rural America (citing Patterson et al.)</t>
  </si>
  <si>
    <t xml:space="preserve">53% of isolated rural agencies all-volunteer vs 14% urban</t>
  </si>
  <si>
    <t xml:space="preserve">S70</t>
  </si>
  <si>
    <t xml:space="preserve">NASEMSO</t>
  </si>
  <si>
    <t xml:space="preserve">2020 National EMS Assessment</t>
  </si>
  <si>
    <t xml:space="preserve">2020</t>
  </si>
  <si>
    <t xml:space="preserve">PENDING retrieval; no figure in this workbook rests on it</t>
  </si>
  <si>
    <t xml:space="preserve">PENDING</t>
  </si>
  <si>
    <t xml:space="preserve">Blocked</t>
  </si>
  <si>
    <t xml:space="preserve">Pending register P6</t>
  </si>
  <si>
    <t xml:space="preserve">California EMS Authority</t>
  </si>
  <si>
    <t xml:space="preserve">Report to the Commission: Ambulance Patient Offload Delays (CEMSIS)</t>
  </si>
  <si>
    <t xml:space="preserve">Dec 2024; data Apr-Sep 2024</t>
  </si>
  <si>
    <t xml:space="preserve">19.1% over 30 min; 13,365 cumulative delay hours</t>
  </si>
  <si>
    <t xml:space="preserve">S72</t>
  </si>
  <si>
    <t xml:space="preserve">Patterns in California Ambulance Patient Offload Times by LEMSA</t>
  </si>
  <si>
    <t xml:space="preserve">2024 (PMC11650417)</t>
  </si>
  <si>
    <t xml:space="preserve">5.9M offloads; mean 42.8 min; 16 of 34 LEMSAs over standard</t>
  </si>
  <si>
    <t xml:space="preserve">MUP by Geography and Service, state level</t>
  </si>
  <si>
    <t xml:space="preserve">Data year 2024</t>
  </si>
  <si>
    <t xml:space="preserve">Six ground base HCPCS; national 9,637,009</t>
  </si>
  <si>
    <t xml:space="preserve">State_Saturation_Raw, State_Saturation</t>
  </si>
  <si>
    <t xml:space="preserve">S74</t>
  </si>
  <si>
    <t xml:space="preserve">BMJ Open (peer-reviewed)</t>
  </si>
  <si>
    <t xml:space="preserve">Gilkey et al., TBI ED visits and interfacility transfer, 2016-2020 (NEDS)</t>
  </si>
  <si>
    <t xml:space="preserve">doi:10.1136/bmjopen-2024-090141</t>
  </si>
  <si>
    <t xml:space="preserve">Condition_Transfer_Anchors</t>
  </si>
  <si>
    <t xml:space="preserve">S75</t>
  </si>
  <si>
    <t xml:space="preserve">J Am Coll Surg (peer-reviewed)</t>
  </si>
  <si>
    <t xml:space="preserve">Acharya et al., potentially avoidable facial-trauma transfers (NEDS 2022)</t>
  </si>
  <si>
    <t xml:space="preserve">doi:10.1097/XCS.0000000000001700</t>
  </si>
  <si>
    <t xml:space="preserve">S76</t>
  </si>
  <si>
    <t xml:space="preserve">BMC Emerg Med (peer-reviewed)</t>
  </si>
  <si>
    <t xml:space="preserve">Evans et al., adult burn interfacility transfers, 2009-2014 (NEDS)</t>
  </si>
  <si>
    <t xml:space="preserve">doi:10.1186/s12873-022-00705-6</t>
  </si>
  <si>
    <t xml:space="preserve">S77</t>
  </si>
  <si>
    <t xml:space="preserve">KFF / Census ACS</t>
  </si>
  <si>
    <t xml:space="preserve">Health coverage of the total population; uninsured analysis</t>
  </si>
  <si>
    <t xml:space="preserve">2023-2024</t>
  </si>
  <si>
    <t xml:space="preserve">Coverage shares; 26M uninsured; 3M private ED rides</t>
  </si>
  <si>
    <t xml:space="preserve">TAM_Model_National</t>
  </si>
  <si>
    <t xml:space="preserve">What actually drives demand for interfacility transport</t>
  </si>
  <si>
    <t xml:space="preserve">The question: what forces move interfacility transport demand inside the hospital walls? This tab carries the measured drivers: admissions, throughput, transfer delay, and the clinical evidence on what delay costs patients. Everything here is a published series or a peer-reviewed estimate.</t>
  </si>
  <si>
    <t xml:space="preserve">Panel A. Consolidation. Hospitals are disappearing into systems, and independents are the ones vanishing.</t>
  </si>
  <si>
    <t xml:space="preserve">Chart staging (OP-18d hospital distribution)</t>
  </si>
  <si>
    <t xml:space="preserve">Measure</t>
  </si>
  <si>
    <t xml:space="preserve">Change 2018 to 2024</t>
  </si>
  <si>
    <t xml:space="preserve">Source</t>
  </si>
  <si>
    <t xml:space="preserve">Minutes band</t>
  </si>
  <si>
    <t xml:space="preserve">Hospitals</t>
  </si>
  <si>
    <t xml:space="preserve">Total US hospitals</t>
  </si>
  <si>
    <t xml:space="preserve">AHA Fast Facts, 2020 / 2025 / 2026 editions</t>
  </si>
  <si>
    <t xml:space="preserve">0-120</t>
  </si>
  <si>
    <t xml:space="preserve">Community hospitals</t>
  </si>
  <si>
    <t xml:space="preserve">120-180</t>
  </si>
  <si>
    <t xml:space="preserve">180-240</t>
  </si>
  <si>
    <t xml:space="preserve">240-300</t>
  </si>
  <si>
    <t xml:space="preserve">300-360</t>
  </si>
  <si>
    <t xml:space="preserve">Staffed beds, community hospitals</t>
  </si>
  <si>
    <t xml:space="preserve">360-420</t>
  </si>
  <si>
    <t xml:space="preserve">Admissions, community hospitals</t>
  </si>
  <si>
    <t xml:space="preserve">420-480</t>
  </si>
  <si>
    <t xml:space="preserve">480-600</t>
  </si>
  <si>
    <t xml:space="preserve">Over six years the United States lost 77 community hospitals and gained 76 system-affiliated ones. Independent community hospitals fell from 1,707 to 1,554, a 9.0% decline. Staffed beds fell 2.2% while admissions fell 2.0%. This is the structural engine of interfacility transport: fewer, larger, more specialised receiving centres, and a shrinking set of independent hospitals that must send patients out rather than keep them.</t>
  </si>
  <si>
    <t xml:space="preserve">600-720</t>
  </si>
  <si>
    <t xml:space="preserve">Caveat. AHA defines 'system' broadly enough that a single freestanding hospital can qualify by acquiring three or more pre-acute or post-acute organisations. System membership is therefore an upper bound on multi-hospital affiliation, and the count says nothing about whether the hospitals within a system are specialising.</t>
  </si>
  <si>
    <t xml:space="preserve">720-10000</t>
  </si>
  <si>
    <t xml:space="preserve">What this does NOT show. There is no public national time series on service-line concentration within systems. The claim that system hospitals are 'increasingly specialising' is plausible and widely asserted, but it is not measured by any source in this workbook. To measure it you need the AHA Annual Survey service-line file (paid) or the AHRQ Compendium hospital linkage files.</t>
  </si>
  <si>
    <t xml:space="preserve">Panel B. ED transfer delay. CMS measures it directly, and transfer patients wait longer than anyone else.</t>
  </si>
  <si>
    <t xml:space="preserve">CMS measure</t>
  </si>
  <si>
    <t xml:space="preserve">What it counts</t>
  </si>
  <si>
    <t xml:space="preserve">National median
(minutes)</t>
  </si>
  <si>
    <t xml:space="preserve">Top-decile hospitals
(minutes)</t>
  </si>
  <si>
    <t xml:space="preserve">Penalty vs discharged
patients (minutes)</t>
  </si>
  <si>
    <t xml:space="preserve">OP-18b</t>
  </si>
  <si>
    <t xml:space="preserve">Median time in the ED before leaving, for patients who are discharged. Excludes transfers and psychiatric patients.</t>
  </si>
  <si>
    <t xml:space="preserve">OP-18a</t>
  </si>
  <si>
    <t xml:space="preserve">Median time in the ED before leaving, all patients, including psychiatric and transferred.</t>
  </si>
  <si>
    <t xml:space="preserve">OP-18c</t>
  </si>
  <si>
    <t xml:space="preserve">Median time in the ED before leaving, psychiatric and mental health patients.</t>
  </si>
  <si>
    <t xml:space="preserve">OP-18d</t>
  </si>
  <si>
    <t xml:space="preserve">Median time in the ED before being TRANSFERRED TO ANOTHER FACILITY.</t>
  </si>
  <si>
    <t xml:space="preserve">OP-22</t>
  </si>
  <si>
    <t xml:space="preserve">Percentage of patients who left the ED before being seen.</t>
  </si>
  <si>
    <t xml:space="preserve">An ED patient who is going to be transferred to another facility sits in the ED for a median of 287 minutes, 4 hours and 47 minutes. That is 126 minutes, or 78%, longer than a patient who is simply discharged. Transfer patients are the slowest-moving population in the American emergency department, slower even than psychiatric boarders. The top-decile hospital does it in 187 minutes, so 100 minutes of the median delay is addressable.</t>
  </si>
  <si>
    <t xml:space="preserve">Source: CMS Timely and Effective Care, national file, measurement period 01 July 2024 to 30 June 2025. Retrieved from the CMS provider-data API on 09 July 2026. OP-22 covers calendar year 2024.</t>
  </si>
  <si>
    <t xml:space="preserve">Panel C. How wide is the spread? Hospital-level distribution of ED transfer delay (OP-18d).</t>
  </si>
  <si>
    <t xml:space="preserve">Statistic</t>
  </si>
  <si>
    <t xml:space="preserve">Minutes</t>
  </si>
  <si>
    <t xml:space="preserve">Hours</t>
  </si>
  <si>
    <t xml:space="preserve">Read</t>
  </si>
  <si>
    <t xml:space="preserve">Hospitals reporting</t>
  </si>
  <si>
    <t xml:space="preserve">Every hospital reporting OP-18d in the current CMS release.</t>
  </si>
  <si>
    <t xml:space="preserve">10th percentile</t>
  </si>
  <si>
    <t xml:space="preserve">The fastest tenth.</t>
  </si>
  <si>
    <t xml:space="preserve">25th percentile</t>
  </si>
  <si>
    <t xml:space="preserve">Median</t>
  </si>
  <si>
    <t xml:space="preserve">The hospital-level median. The patient-weighted national median is 287.</t>
  </si>
  <si>
    <t xml:space="preserve">75th percentile</t>
  </si>
  <si>
    <t xml:space="preserve">90th percentile</t>
  </si>
  <si>
    <t xml:space="preserve">95th percentile</t>
  </si>
  <si>
    <t xml:space="preserve">Eight and a half hours to move a patient out of the ED.</t>
  </si>
  <si>
    <t xml:space="preserve">99th percentile</t>
  </si>
  <si>
    <t xml:space="preserve">Maximum</t>
  </si>
  <si>
    <t xml:space="preserve">Twenty-six and a half hours. One hospital.</t>
  </si>
  <si>
    <t xml:space="preserve">Hospitals at or above 8 hours</t>
  </si>
  <si>
    <t xml:space="preserve">6.5% of reporting hospitals.</t>
  </si>
  <si>
    <t xml:space="preserve">Hospitals at or above 12 hours</t>
  </si>
  <si>
    <t xml:space="preserve">0.8%.</t>
  </si>
  <si>
    <t xml:space="preserve">Hospitals under 3 hours</t>
  </si>
  <si>
    <t xml:space="preserve">6.8%.</t>
  </si>
  <si>
    <t xml:space="preserve">State medians, OP-18d. Fifty-two jurisdictions.</t>
  </si>
  <si>
    <t xml:space="preserve">Rank</t>
  </si>
  <si>
    <t xml:space="preserve">State</t>
  </si>
  <si>
    <t xml:space="preserve">ED transfer delay
(minutes)</t>
  </si>
  <si>
    <t xml:space="preserve">Discharged patients
(minutes)</t>
  </si>
  <si>
    <t xml:space="preserve">Transfer penalty
(minutes)</t>
  </si>
  <si>
    <t xml:space="preserve">DC</t>
  </si>
  <si>
    <t xml:space="preserve">Worst six above, best six below. National spread is 3.8x.</t>
  </si>
  <si>
    <t xml:space="preserve">PR</t>
  </si>
  <si>
    <t xml:space="preserve">MD</t>
  </si>
  <si>
    <t xml:space="preserve">ME</t>
  </si>
  <si>
    <t xml:space="preserve">NC</t>
  </si>
  <si>
    <t xml:space="preserve">NM</t>
  </si>
  <si>
    <t xml:space="preserve">WY</t>
  </si>
  <si>
    <t xml:space="preserve">The best states move transfer patients out in under four hours.</t>
  </si>
  <si>
    <t xml:space="preserve">UT</t>
  </si>
  <si>
    <t xml:space="preserve">MT</t>
  </si>
  <si>
    <t xml:space="preserve">SD</t>
  </si>
  <si>
    <t xml:space="preserve">NE</t>
  </si>
  <si>
    <t xml:space="preserve">ND</t>
  </si>
  <si>
    <t xml:space="preserve">of 52</t>
  </si>
  <si>
    <t xml:space="preserve">Median state transfer penalty is 152 minutes.</t>
  </si>
  <si>
    <t xml:space="preserve">Panel D. Acuity mix. Answering 'what share of transports are BLS, ALS or CCT'.</t>
  </si>
  <si>
    <t xml:space="preserve">Population</t>
  </si>
  <si>
    <t xml:space="preserve">BLS non-emergency</t>
  </si>
  <si>
    <t xml:space="preserve">ALS1 non-emergency</t>
  </si>
  <si>
    <t xml:space="preserve">BLS emergency</t>
  </si>
  <si>
    <t xml:space="preserve">ALS1 emergency</t>
  </si>
  <si>
    <t xml:space="preserve">ALS2</t>
  </si>
  <si>
    <t xml:space="preserve">Specialty Care Transport</t>
  </si>
  <si>
    <t xml:space="preserve">Source and caveat</t>
  </si>
  <si>
    <t xml:space="preserve">Medicare FFS carrier-billed, hospital-to-hospital, 2024, share of transports</t>
  </si>
  <si>
    <t xml:space="preserve">CMS PSPS. Carrier claims only. Hospital-owned departments bill institutionally and never appear.</t>
  </si>
  <si>
    <t xml:space="preserve">Same book, share of base-rate ALLOWED DOLLARS</t>
  </si>
  <si>
    <t xml:space="preserve">Price weighting lifts SCT from 6.6% of transports to 15.6% of dollars. It does not make the book high-acuity.</t>
  </si>
  <si>
    <t xml:space="preserve">Same book, 2010</t>
  </si>
  <si>
    <t xml:space="preserve">Fifteen years earlier. Non-emergency BLS 38.5%, SCT 7.4%. The mix has not moved.</t>
  </si>
  <si>
    <t xml:space="preserve">All-payer acuity mix is NOT measurable from any source in this workbook. NEMSIS changed its level-of-care element in 2024 (eResponse.15 to eDisposition.32), which cut the reported denominator from 36.4M to 31.3M and made the ALS-Paramedic share appear to fall from 75.1% to 59.6%. That is an element change, not a staffing change. See Data_Quality_Register #15. NEMSIS level of care is excluded from this workbook.</t>
  </si>
  <si>
    <t xml:space="preserve">So the honest answer to 'what share is BLS, ALS, CCT' is: for the Medicare fee-for-service interfacility book it is 62% non-emergency BLS and ALS1, 30% emergent, 6.6% specialty care transport, and it has been within a point of that for fifteen years. For the commercial book, nobody in this evidence base knows.</t>
  </si>
  <si>
    <t xml:space="preserve">Panel E. What the peer-reviewed literature actually supports, and what it does not.</t>
  </si>
  <si>
    <t xml:space="preserve">Claim</t>
  </si>
  <si>
    <t xml:space="preserve">What the evidence says</t>
  </si>
  <si>
    <t xml:space="preserve">Strength</t>
  </si>
  <si>
    <t xml:space="preserve">Citation</t>
  </si>
  <si>
    <t xml:space="preserve">Travel time to emergency care increases the probability of interfacility transfer</t>
  </si>
  <si>
    <t xml:space="preserve">In 190,311 adults presenting to an ED with one of five emergency general surgery conditions in Florida and California in 2021, travel time of 60 minutes or more was associated with an adjusted odds ratio of 1.32 (95% CI 1.15 to 1.51) for interfacility transfer, 1.41 for inpatient admission, and an adjusted mean $8,284 in additional charges. Travel time above 120 minutes raised the odds of complex disease presentation to 1.28.</t>
  </si>
  <si>
    <t xml:space="preserve">STRONG. Large, multistate, adjusted.</t>
  </si>
  <si>
    <t xml:space="preserve">Clark et al., JAMA Network Open, 2025. doi:10.1001/jamanetworkopen.2024.55258. PMID 39836423.</t>
  </si>
  <si>
    <t xml:space="preserve">ED boarding harms patients</t>
  </si>
  <si>
    <t xml:space="preserve">Contested. A systematic review of 34 studies (2.3 million patients) found variable associations between ED length of stay and mortality, inpatient length of stay and adverse events, with the clearest signal in older patients. A systematic review focused on frail patients found prolonged boarding associated with adverse outcomes and higher mortality.</t>
  </si>
  <si>
    <t xml:space="preserve">MODERATE, and heterogeneous.</t>
  </si>
  <si>
    <t xml:space="preserve">Burgess et al., Res Nurs Health, 2022. doi:10.1002/nur.22201. Iozzo et al., J Clin Med, 2024. doi:10.3390/jcm13051269.</t>
  </si>
  <si>
    <t xml:space="preserve">Longer ED stay before transfer means worse outcomes</t>
  </si>
  <si>
    <t xml:space="preserve">The opposite is repeatedly observed, because of confounding by indication. In 1,535 elderly blunt-trauma transfers, SHORTER dwell time was associated with higher injury severity, lower Glasgow Coma Scale and higher mortality: the sickest patients are moved fastest. A study of 5,859 ED-ICU patients found no significant association between ED length of stay and mortality after adjustment.</t>
  </si>
  <si>
    <t xml:space="preserve">The naive correlation runs BACKWARDS. Never use dwell time as an outcome proxy.</t>
  </si>
  <si>
    <t xml:space="preserve">Quinn et al., Am Surg, 2022. doi:10.1177/00031348221082278. Puls et al., JACEP Open, 2022. doi:10.1002/emp2.12684.</t>
  </si>
  <si>
    <t xml:space="preserve">ED boarding raises hospital cost per day</t>
  </si>
  <si>
    <t xml:space="preserve">The source market study cited roughly $1,856 against $993 per day for boarded acute stroke patients. The citation was never pinned and this workbook excludes it. See Excluded_Not_Sourced #29.</t>
  </si>
  <si>
    <t xml:space="preserve">UNPINNED. Never quote.</t>
  </si>
  <si>
    <t xml:space="preserve">Not verifiable from the sources provided.</t>
  </si>
  <si>
    <t xml:space="preserve">Literature retrieved from PubMed on 09 July 2026. Digital object identifiers are given so every claim can be checked at source.</t>
  </si>
  <si>
    <t xml:space="preserve">Panel F. The demand equation, assembled from the measured pieces.</t>
  </si>
  <si>
    <t xml:space="preserve">Driver</t>
  </si>
  <si>
    <t xml:space="preserve">Direction</t>
  </si>
  <si>
    <t xml:space="preserve">Measured?</t>
  </si>
  <si>
    <t xml:space="preserve">What the evidence in this workbook says</t>
  </si>
  <si>
    <t xml:space="preserve">Hospital admissions (the denominator)</t>
  </si>
  <si>
    <t xml:space="preserve">Falling</t>
  </si>
  <si>
    <t xml:space="preserve">YES</t>
  </si>
  <si>
    <t xml:space="preserve">-0.67% per year, 2012 to 2023, AHA census. IFT grows as its own denominator shrinks.</t>
  </si>
  <si>
    <t xml:space="preserve">Acute-to-acute transfer episodes</t>
  </si>
  <si>
    <t xml:space="preserve">Flat to slightly up</t>
  </si>
  <si>
    <t xml:space="preserve">+0.86% per year, 2012 to 2023, and NOT demonstrably different from zero without standard errors.</t>
  </si>
  <si>
    <t xml:space="preserve">Channel shift, inpatient bed to ED</t>
  </si>
  <si>
    <t xml:space="preserve">Strongly toward the ED</t>
  </si>
  <si>
    <t xml:space="preserve">ED-origin share of episodes 74.4% to 80.2%, 2012 to 2023. The single clearest structural trend in the data.</t>
  </si>
  <si>
    <t xml:space="preserve">Consolidation into systems</t>
  </si>
  <si>
    <t xml:space="preserve">Rising</t>
  </si>
  <si>
    <t xml:space="preserve">Independent community hospitals down 9.0%, 2018 to 2024. Fewer places able to keep a complex patient.</t>
  </si>
  <si>
    <t xml:space="preserve">Specialisation within systems</t>
  </si>
  <si>
    <t xml:space="preserve">Asserted</t>
  </si>
  <si>
    <t xml:space="preserve">NO</t>
  </si>
  <si>
    <t xml:space="preserve">Not measured by any public national source. Needs the AHA Annual Survey service-line file.</t>
  </si>
  <si>
    <t xml:space="preserve">Travel time and regionalisation</t>
  </si>
  <si>
    <t xml:space="preserve">YES, externally</t>
  </si>
  <si>
    <t xml:space="preserve">Travel time of 60 minutes or more raises the odds of interfacility transfer by 32%. Clark 2025.</t>
  </si>
  <si>
    <t xml:space="preserve">ED throughput and transfer delay</t>
  </si>
  <si>
    <t xml:space="preserve">Poor and highly variable</t>
  </si>
  <si>
    <t xml:space="preserve">287-minute national median for transfer patients, a 78% penalty over discharged patients, and a 3.8x spread across states.</t>
  </si>
  <si>
    <t xml:space="preserve">Acuity escalation</t>
  </si>
  <si>
    <t xml:space="preserve">Not happening in Medicare</t>
  </si>
  <si>
    <t xml:space="preserve">SCT held between 6.5% and 7.4% of the Medicare interfacility book every year from 2010 to 2024.</t>
  </si>
  <si>
    <t xml:space="preserve">Payer mix migration to Medicare Advantage</t>
  </si>
  <si>
    <t xml:space="preserve">INDIRECTLY</t>
  </si>
  <si>
    <t xml:space="preserve">Carrier-billed Medicare FFS interfacility transports fell -3.75% per year from the 2017 peak. Demand did not fall; the fee-for-service window narrowed.</t>
  </si>
  <si>
    <t xml:space="preserve">Post-acute capacity</t>
  </si>
  <si>
    <t xml:space="preserve">Large and separate</t>
  </si>
  <si>
    <t xml:space="preserve">PARTLY</t>
  </si>
  <si>
    <t xml:space="preserve">6.5 million transfers to other facility types in 2022, 2.2 times the acute-to-acute count. Not all move by ambulance.</t>
  </si>
  <si>
    <t xml:space="preserve">The synthesis. Interfacility transport demand is not a volume growth story. Episodes are flat. What is changing is WHERE the transfer originates (the ED, not the ward), WHO can receive it (fewer, larger, system-affiliated centres), HOW FAR the patient has to go (travel time is now a measurable predictor of transfer), and HOW LONG it takes (287 minutes, with a 100-minute addressable gap to the top decile). The value is in throughput and network position, not in a rising tide of patients.</t>
  </si>
  <si>
    <t xml:space="preserve">The measured macro drivers. Census, payer mix, supply exits, and the coordination lever.</t>
  </si>
  <si>
    <t xml:space="preserve">The question: what moves demand from outside the hospital? Four measured forces, each pinned to a primary document: the aging population (Census projections), the payer-mix migration that shrinks every fee-for-service series, rural hospital closures and their measured effect on transport times, and the final external anchor for how often patients arrive by ambulance.</t>
  </si>
  <si>
    <t xml:space="preserve">Panel A. The population that rides. Census Bureau 2023 National Population Projections, Table NP2023-T2, main series (S50). Thousands.</t>
  </si>
  <si>
    <t xml:space="preserve">2030</t>
  </si>
  <si>
    <t xml:space="preserve">2035</t>
  </si>
  <si>
    <t xml:space="preserve">2040</t>
  </si>
  <si>
    <t xml:space="preserve">2050</t>
  </si>
  <si>
    <t xml:space="preserve">CAGR 2025-2030</t>
  </si>
  <si>
    <t xml:space="preserve">CAGR 2030-2040</t>
  </si>
  <si>
    <t xml:space="preserve">Population 65 and over</t>
  </si>
  <si>
    <t xml:space="preserve">Total resident population</t>
  </si>
  <si>
    <t xml:space="preserve">65+ share of population</t>
  </si>
  <si>
    <t xml:space="preserve">The 65+ population adds 7.9 million people between 2025 and 2030, a 2.4% per year compounding rate, then decelerates to 1.0% per year in the 2030s. NHAMCS puts the 65+ ambulance-arrival share at 33.4% against 17.0% for all ages (Panel E), so the riding population grows roughly twice as fast as total ED demand through 2030. This is the only measured tailwind in the demand equation; the Acute_IFT_Series episode CAGR of +0.86% already contains its past effect.</t>
  </si>
  <si>
    <t xml:space="preserve">Panel B. The payer-mix migration that shrinks every fee-for-service series in this workbook. KFF from CMS enrollment files (S51).</t>
  </si>
  <si>
    <t xml:space="preserve">MA share of eligible beneficiaries</t>
  </si>
  <si>
    <t xml:space="preserve">Enrolled (millions)</t>
  </si>
  <si>
    <t xml:space="preserve">Eligible (millions)</t>
  </si>
  <si>
    <t xml:space="preserve">Note</t>
  </si>
  <si>
    <t xml:space="preserve">2007</t>
  </si>
  <si>
    <t xml:space="preserve">Series start as published by KFF</t>
  </si>
  <si>
    <t xml:space="preserve">2034</t>
  </si>
  <si>
    <t xml:space="preserve">CBO projection as cited by KFF</t>
  </si>
  <si>
    <t xml:space="preserve">Read together with Medicare_IFT_Series: carrier-billed FFS hospital-to-hospital transports peaked in 2017 and are 23.5% smaller, while MA crossed half of beneficiaries. The demand did not leave; the measurable window narrowed, and it will keep narrowing toward the CBO 63%. Every PSPS series in this workbook must be deflated mentally by this migration before being read as demand.</t>
  </si>
  <si>
    <t xml:space="preserve">Panel C. Supply exits on the sending side. Sheps Center rural closure tracker, accessed 10 July 2026 (S52), and the measured transport-time mechanism (S53).</t>
  </si>
  <si>
    <t xml:space="preserve">Detail</t>
  </si>
  <si>
    <t xml:space="preserve">Rural hospital closures and conversions since January 2005</t>
  </si>
  <si>
    <t xml:space="preserve">109 complete closures plus 88 converted closures (inpatient services ended, some services remain)</t>
  </si>
  <si>
    <t xml:space="preserve">Closures and conversions since 2010</t>
  </si>
  <si>
    <t xml:space="preserve">86 complete plus 68 converted. Rural Emergency Hospital conversions are excluded and tracked separately</t>
  </si>
  <si>
    <t xml:space="preserve">Convention warning</t>
  </si>
  <si>
    <t xml:space="preserve">The Chartis Center for Rural Health counts 182 since 2010 under a broader convention that treats REH conversion differently. The two counts are not interchangeable; cite one tracker and its convention.</t>
  </si>
  <si>
    <t xml:space="preserve">Mechanism, measured. Rural hospital closures raised mean EMS transport time by 2.6 minutes (P=.09) and total activation time by 7.2 minutes (P=.02), with no change in response time: the ambulance reaches the patient as fast, then drives farther. Miller et al., Health Services Research 2020;55(2):288-300, doi:10.1111/1475-6773.13254, PMID 31989591, NEMSIS 2010-2016 (S53). Retrieved from PubMed 10 July 2026.</t>
  </si>
  <si>
    <t xml:space="preserve">Panel D. Coordination is a measured lever, not a slide claim.</t>
  </si>
  <si>
    <t xml:space="preserve">State medical operations coordination centers (SMOCCs), stood up in eight states during the pandemic, were associated with an IMMEDIATE 35% increase in interhospital transfer rates (rate ratio 1.35, 95% CI 1.05 to 1.74) followed by a long-term rate ratio of 0.94, across 441,709 NEMSIS transfers, June 2020 to December 2022. Transfer throughput responds to coordination infrastructure on a measurable scale. Richert et al., JAMA Network Open 2025;8(12):e2546002, doi:10.1001/jamanetworkopen.2025.46002, PMID 41324958 (S54). Retrieved from PubMed 10 July 2026. Read with Demand_Drivers Panel B: the 287-minute median transfer delay is the friction this lever attacks.</t>
  </si>
  <si>
    <t xml:space="preserve">Panel E. The final external anchor. NHAMCS 2022 was the last vintage of the survey.</t>
  </si>
  <si>
    <t xml:space="preserve">Standard error</t>
  </si>
  <si>
    <t xml:space="preserve">ED visits, 2022 (thousands)</t>
  </si>
  <si>
    <t xml:space="preserve">NHAMCS 2022 ED Summary Tables, Table 4 (S55)</t>
  </si>
  <si>
    <t xml:space="preserve">Ambulance arrival share, all ages</t>
  </si>
  <si>
    <t xml:space="preserve">Ambulance arrival share, 65 and over</t>
  </si>
  <si>
    <t xml:space="preserve">Ambulance arrival share, 75 and over</t>
  </si>
  <si>
    <t xml:space="preserve">Ambulance arrival share, under 15</t>
  </si>
  <si>
    <t xml:space="preserve">The 2016 anchor of 16.2% carried on EMS_Transports updates to 17.0% with a standard error of 0.9 points. NEMSIS 2022 coverage of EMS-to-ED transport (17.5% of NEDS visits) sits INSIDE the 95% interval of this final anchor: at full state participation, NEMSIS captures effectively all EMS-to-ED transport. NCHS discontinued NHAMCS after 2022 (successor: National Hospital Care Survey), so this anchor is frozen. Logged as Data_Quality_Register #30.</t>
  </si>
  <si>
    <t xml:space="preserve">Table metrics</t>
  </si>
  <si>
    <t xml:space="preserve">CAGR of 65+ population per five-year interval (from the projection row above)</t>
  </si>
  <si>
    <t xml:space="preserve">Demand, as a stack of measured components. Every row a published series with a direction.</t>
  </si>
  <si>
    <t xml:space="preserve">The question: what does the whole demand side look like on one page? Each row is one measured demand component with its latest value, its direction over its own window, and its source. Nothing is weighted or combined; the components are read side by side on Imbalance_Ledger. The offsetting series is stated at the bottom.</t>
  </si>
  <si>
    <t xml:space="preserve">Component</t>
  </si>
  <si>
    <t xml:space="preserve">Latest measured value</t>
  </si>
  <si>
    <t xml:space="preserve">Window and direction</t>
  </si>
  <si>
    <t xml:space="preserve">71.2M projected 2030; 63.3M in 2025</t>
  </si>
  <si>
    <t xml:space="preserve">+2.4%/yr 2025-2030, then +1.0%/yr (Census main series)</t>
  </si>
  <si>
    <t xml:space="preserve">Ambulance-arrival intensity by age</t>
  </si>
  <si>
    <t xml:space="preserve">17.0% all ages; 33.4% at 65+; 39.6% at 75+</t>
  </si>
  <si>
    <t xml:space="preserve">Frozen final anchor (survey ended 2022)</t>
  </si>
  <si>
    <t xml:space="preserve">ED transfer channel (DISP_ED = 2)</t>
  </si>
  <si>
    <t xml:space="preserve">Series through 2023 on the sending side</t>
  </si>
  <si>
    <t xml:space="preserve">Slow growth per episode series; 2023 carries a series break</t>
  </si>
  <si>
    <t xml:space="preserve">S01, S03</t>
  </si>
  <si>
    <t xml:space="preserve">SNF interface transports (NH + HN)</t>
  </si>
  <si>
    <t xml:space="preserve">2,398,253 Medicare FFS, 2024</t>
  </si>
  <si>
    <t xml:space="preserve">NH leg growing +3.6%/yr 2022-2024; HN shrinking</t>
  </si>
  <si>
    <t xml:space="preserve">Hospital occupancy</t>
  </si>
  <si>
    <t xml:space="preserve">75.3% post-PHE steady state vs 63.9% pre-pandemic</t>
  </si>
  <si>
    <t xml:space="preserve">+11.4 points; driven by minus 16% staffed beds, census flat</t>
  </si>
  <si>
    <t xml:space="preserve">Supply_Stack (dual-listed)</t>
  </si>
  <si>
    <t xml:space="preserve">ED boarding and throughput</t>
  </si>
  <si>
    <t xml:space="preserve">OP-18d median transfer delay 287 minutes (Finding 22)</t>
  </si>
  <si>
    <t xml:space="preserve">Measure sunsets CY2028; successor ECAT eCQM measures boarding directly</t>
  </si>
  <si>
    <t xml:space="preserve">S33, S64</t>
  </si>
  <si>
    <t xml:space="preserve">Payment_Rules note</t>
  </si>
  <si>
    <t xml:space="preserve">Hospital-at-home census</t>
  </si>
  <si>
    <t xml:space="preserve">366 approved programs, 139 systems, 37 states (AMA, Mar 2026); 419/147/39 per AHA Sep 2025</t>
  </si>
  <si>
    <t xml:space="preserve">Waiver extended to 30 Sep 2030 (CAA 2026 sec. 6210); every H@H day creates home transport legs and mandated EMS coordination</t>
  </si>
  <si>
    <t xml:space="preserve">Dialysis demand denominators</t>
  </si>
  <si>
    <t xml:space="preserve">In-center HD prevalence declining since 2020; ESRD MA share 18.3% to 24.5% in 2021 alone; dialysis clinics +10% 2017-2022</t>
  </si>
  <si>
    <t xml:space="preserve">Patient census and payer migration both shrink the FFS dialysis book independent of RSNAT</t>
  </si>
  <si>
    <t xml:space="preserve">Dialysis_ESRD_Channel companion</t>
  </si>
  <si>
    <t xml:space="preserve">Medicare Advantage share (the demand this book cannot see)</t>
  </si>
  <si>
    <t xml:space="preserve">55% of eligibles, 2026; CBO 63% by 2034</t>
  </si>
  <si>
    <t xml:space="preserve">Rising; the measurable FFS window shrinks correspondingly</t>
  </si>
  <si>
    <t xml:space="preserve">S51, S60</t>
  </si>
  <si>
    <t xml:space="preserve">Imbalance_Ledger Panel C</t>
  </si>
  <si>
    <t xml:space="preserve">Coordination-released demand</t>
  </si>
  <si>
    <t xml:space="preserve">SMOCC rate ratio 1.35 immediate on 441,709 transfers</t>
  </si>
  <si>
    <t xml:space="preserve">Throughput responds to coordination infrastructure</t>
  </si>
  <si>
    <t xml:space="preserve">The offsetting series: Per-beneficiary Medicare FFS ground utilization FELL 11.9% from 2019 to 2024 (Utilization_Normalized). The demand stack does not claim volume is booming; it claims need per unit of capacity is rising while the measurable window shrinks. Both statements are computed on Imbalance_Ledger.</t>
  </si>
  <si>
    <t xml:space="preserve">Acute-to-acute interfacility transfer episodes, sending side, 2007 to 2023</t>
  </si>
  <si>
    <t xml:space="preserve">The question: how many acute-to-acute hospital transfers happen each year? Answered from HCUP, the only national all-payer census of hospital discharges, using its two mutually exclusive origin channels: transfers out of the emergency department and transfers out of inpatient beds. The two are added, never averaged.</t>
  </si>
  <si>
    <t xml:space="preserve">ED-origin episodes
NEDS DISP_ED = 2</t>
  </si>
  <si>
    <t xml:space="preserve">Inpatient-origin episodes
NIS DISPUNIFORM = 2</t>
  </si>
  <si>
    <t xml:space="preserve">Total acute-to-acute
episodes</t>
  </si>
  <si>
    <t xml:space="preserve">AHA community hospital
inpatient admissions</t>
  </si>
  <si>
    <t xml:space="preserve">IFT % of
admissions</t>
  </si>
  <si>
    <t xml:space="preserve">ED-origin share
of episodes</t>
  </si>
  <si>
    <t xml:space="preserve">NIS total weighted
discharges</t>
  </si>
  <si>
    <t xml:space="preserve">Episodes per 1,000
admissions</t>
  </si>
  <si>
    <t xml:space="preserve">Trend-eligible?</t>
  </si>
  <si>
    <t xml:space="preserve">Reason</t>
  </si>
  <si>
    <t xml:space="preserve">ED-origin as %
of admissions
(the ED channel)</t>
  </si>
  <si>
    <t xml:space="preserve">Inpatient-origin as %
of admissions</t>
  </si>
  <si>
    <t xml:space="preserve">No</t>
  </si>
  <si>
    <t xml:space="preserve">Pre-2012 NIS sample redesign; needs AHRQ trend weights</t>
  </si>
  <si>
    <t xml:space="preserve">2008</t>
  </si>
  <si>
    <t xml:space="preserve">2009</t>
  </si>
  <si>
    <t xml:space="preserve">2011</t>
  </si>
  <si>
    <t xml:space="preserve">Yes</t>
  </si>
  <si>
    <t xml:space="preserve">First year of the redesigned NIS discharge sample</t>
  </si>
  <si>
    <t xml:space="preserve">2013</t>
  </si>
  <si>
    <t xml:space="preserve">2014</t>
  </si>
  <si>
    <t xml:space="preserve">2015</t>
  </si>
  <si>
    <t xml:space="preserve">Use with caution: NEDS destination-unknown spikes to 7.89% of visits in the ICD-9 to ICD-10 transition</t>
  </si>
  <si>
    <t xml:space="preserve">COVID year</t>
  </si>
  <si>
    <t xml:space="preserve">Memo</t>
  </si>
  <si>
    <t xml:space="preserve">NEDS break in series: CA, NV, VT drop out, OK added; frame population coverage falls to 74.1%</t>
  </si>
  <si>
    <t xml:space="preserve">Growth on the comparable window (2012 to 2023). 11 compounding years.</t>
  </si>
  <si>
    <t xml:space="preserve">Total change</t>
  </si>
  <si>
    <t xml:space="preserve">CAGR</t>
  </si>
  <si>
    <t xml:space="preserve">ED-origin transfer episodes</t>
  </si>
  <si>
    <t xml:space="preserve">Inpatient-origin transfer episodes</t>
  </si>
  <si>
    <t xml:space="preserve">Total acute-to-acute episodes</t>
  </si>
  <si>
    <t xml:space="preserve">NIS total weighted discharges</t>
  </si>
  <si>
    <t xml:space="preserve">IFT as % of admissions (the ratio)</t>
  </si>
  <si>
    <t xml:space="preserve">Level statistics on the clean window (2019 to 2023)</t>
  </si>
  <si>
    <t xml:space="preserve">Mean acute-to-acute episodes per year</t>
  </si>
  <si>
    <t xml:space="preserve">Low of the annual range</t>
  </si>
  <si>
    <t xml:space="preserve">High of the annual range</t>
  </si>
  <si>
    <t xml:space="preserve">Mean IFT % of admissions</t>
  </si>
  <si>
    <t xml:space="preserve">Standard deviation of the ratio</t>
  </si>
  <si>
    <t xml:space="preserve">Low of the ratio band</t>
  </si>
  <si>
    <t xml:space="preserve">High of the ratio band</t>
  </si>
  <si>
    <t xml:space="preserve">ED-origin share of episodes, 2012</t>
  </si>
  <si>
    <t xml:space="preserve">ED-origin share of episodes, 2022</t>
  </si>
  <si>
    <t xml:space="preserve">ED-origin share of episodes, 2023</t>
  </si>
  <si>
    <t xml:space="preserve">Definition. ED-origin = NEDS DISP_ED = 2, transfer out of the ED to another short-term hospital. Inpatient-origin = NIS DISPUNIFORM = 2, admitted first, then transferred out. The two are mutually exclusive: an ED transfer-out is never also an inpatient discharge.</t>
  </si>
  <si>
    <t xml:space="preserve">Excluded from this table by design: NEDS DISP_ED = 5 and NIS DISPUNIFORM = 5, transfer to another TYPE of facility (SNF, intermediate care, psychiatric, rehabilitation). Those are interfacility ambulance demand but they are not acute to acute. They are carried on the Cross_Source_Recon tab.</t>
  </si>
  <si>
    <t xml:space="preserve">Counts are transfer LEGS recorded at the sending facility. One transfer episode produces one leg.</t>
  </si>
  <si>
    <t xml:space="preserve">The 2023 ED-origin figure is the Weighted Summary Statistics value. The NEDS Introduction 2023, Table A7, prints 2,552,895 for the same quantity. See Cross_Source_Recon.</t>
  </si>
  <si>
    <t xml:space="preserve">The ED channel in isolation, 2007 to 2022. This is the series behind the widely quoted near-doubling.</t>
  </si>
  <si>
    <t xml:space="preserve">ED-origin transfers as % of community hospital admissions</t>
  </si>
  <si>
    <t xml:space="preserve">ED-origin transfer volume</t>
  </si>
  <si>
    <t xml:space="preserve">Numerator contribution to ratio growth</t>
  </si>
  <si>
    <t xml:space="preserve">Read together with the complete build above. The ED channel nearly doubled as a share of admissions. Total acute-to-acute episodes, which include the shrinking inpatient-origin channel, grew 0.86% per year. Quoting the first as the second is the most common error in this literature.</t>
  </si>
  <si>
    <t xml:space="preserve">No confidence interval can be attached to any CAGR here. AHRQ publishes no standard errors in the weighted summary statistics, and NEDS clusters on emergency departments, where transfer propensity is a hospital-level attribute. That gives DISP_ED = 2 a large design effect. The 0.86% per year total-episode CAGR is NOT demonstrably different from zero on this evidence. The AHA denominator decline is a hospital census and is real. HCUPnet returns design-based standard errors for free and would settle this.</t>
  </si>
  <si>
    <t xml:space="preserve">CAGR, combined acute transfers, 2007 to 2023</t>
  </si>
  <si>
    <t xml:space="preserve">CAGR, ED-origin channel</t>
  </si>
  <si>
    <t xml:space="preserve">CAGR, inpatient-origin channel</t>
  </si>
  <si>
    <t xml:space="preserve">Peak year, combined</t>
  </si>
  <si>
    <t xml:space="preserve">2023 carries a series break (Fault_Audit); the cross-break CAGRs above are directional and the pre-break window should be quoted for precision. The two channels move in opposite directions: growth lives in the ED-origin stream.</t>
  </si>
  <si>
    <t xml:space="preserve">Condition-level transfer anchors: the clinical crosswalk begins</t>
  </si>
  <si>
    <t xml:space="preserve">The question: which clinical conditions generate transfers, at what rate, and is that changing? The full condition-by-disposition census remains pending item P1, but the peer-reviewed layer now has its first three anchors, each a national NEDS analysis retrieved and pinned via the PubMed connector on 10 July 2026. Together they establish three things a sizing model needs: transfer propensity varies by an order of magnitude across conditions, the high-acuity transfer streams were growing before the pandemic, and a large, quantified share of up-transfers is clinically avoidable, which is the throughput-value story a transport platform sells.</t>
  </si>
  <si>
    <t xml:space="preserve">Condition stream</t>
  </si>
  <si>
    <t xml:space="preserve">What the study measured</t>
  </si>
  <si>
    <t xml:space="preserve">The numbers to carry</t>
  </si>
  <si>
    <t xml:space="preserve">Traumatic brain injury (moderate and severe)</t>
  </si>
  <si>
    <t xml:space="preserve">National TBI ED visits, dispositions, and interfacility transfers, 2016-2020, from the Nationwide Emergency Department Sample.</t>
  </si>
  <si>
    <t xml:space="preserve">527,123 TBI ED visits in 2020. Transfers to short-term hospitals rose 16.0% and transfers to other facilities rose 18.2% from 2016 to 2019, and both sat higher again in 2020. Rural-hospital TBI mortality odds nearly double urban (OR 1.95), the clinical case for rapid up-transfer.</t>
  </si>
  <si>
    <t xml:space="preserve">Gilkey et al., BMJ Open, 2024. doi:10.1136/bmjopen-2024-090141 (S74)</t>
  </si>
  <si>
    <t xml:space="preserve">Isolated facial trauma</t>
  </si>
  <si>
    <t xml:space="preserve">Potentially avoidable up-transfers from level III and non-trauma centers, benchmarked against level I discharge practice, NEDS 2022.</t>
  </si>
  <si>
    <t xml:space="preserve">856,197 isolated facial-trauma ED patients; 2.4% of those at lower-level facilities transferred up; 43.2% of those transfers (95% CI 40.9 to 45.4) classified potentially avoidable. Avoidable-transfer share is now a measured quantity, not a talking point.</t>
  </si>
  <si>
    <t xml:space="preserve">Acharya et al., Journal of the American College of Surgeons, 2026. doi:10.1097/XCS.0000000000001700 (S75)</t>
  </si>
  <si>
    <t xml:space="preserve">Burn injury</t>
  </si>
  <si>
    <t xml:space="preserve">All adult burn ED visits and interfacility transfers, 2009-2014, NEDS.</t>
  </si>
  <si>
    <t xml:space="preserve">3,047,701 burn ED visits over six years; 3.6% transferred, about 18,097 interfacility transfers a year; burns more than twice as likely to transfer as the general ED population, and a burn above 10% body surface area carries ten times the transfer probability.</t>
  </si>
  <si>
    <t xml:space="preserve">Evans et al., BMC Emergency Medicine, 2022. doi:10.1186/s12873-022-00705-6 (S76)</t>
  </si>
  <si>
    <t xml:space="preserve">How this feeds the sizing work. These three streams demonstrate the pattern the full crosswalk (P1) will generalize: transfer propensity is a condition attribute, ranging from under 2% of ED visits overall to 24% for major burns, and the avoidable share is measurable per condition. For the archetype analysis, condition mix maps to acuity mix, which maps to which business model wins the volume. The burn figure also supplies a useful implied baseline: if burns transfer at 3.6% and run more than twice the general ED rate, the general adult ED transfer rate sits near 1.5%, consistent with the transfer series on Acute_IFT_Series.</t>
  </si>
  <si>
    <t xml:space="preserve">The other transfer channels, and the ED-universe validation</t>
  </si>
  <si>
    <t xml:space="preserve">The question: what moves between facilities besides the acute hospital pair? The post-acute and specialty channels, sized from the certified-provider universe and the discharge-destination codes that route patients to them.</t>
  </si>
  <si>
    <t xml:space="preserve">ED transfer to other
facility type
DISP_ED = 5</t>
  </si>
  <si>
    <t xml:space="preserve">Inpatient transfer to other
facility type
DISPUNIFORM = 5</t>
  </si>
  <si>
    <t xml:space="preserve">Acute-to-acute
episodes</t>
  </si>
  <si>
    <t xml:space="preserve">TOTAL transfers out,
all destinations</t>
  </si>
  <si>
    <t xml:space="preserve">Total ED visits</t>
  </si>
  <si>
    <t xml:space="preserve">ED visits admitted to
same hospital
DISP_ED = 9</t>
  </si>
  <si>
    <t xml:space="preserve">ED-originated share
of AHA admissions</t>
  </si>
  <si>
    <t xml:space="preserve">Destination unknown
(98 + 99)</t>
  </si>
  <si>
    <t xml:space="preserve">Unknown as %
of ED visits</t>
  </si>
  <si>
    <t xml:space="preserve">Transfers to other facility types, 2022 (ED plus inpatient origin)</t>
  </si>
  <si>
    <t xml:space="preserve">SNF, intermediate care, psychiatric, rehabilitation and other. 2.2 times the acute-to-acute episode count. Not all move by ambulance: many post-acute discharges go by wheelchair van or private vehicle. This is why NEMSIS facility-to-facility counts and HCUP transfer counts cannot be reconciled by definition alone.</t>
  </si>
  <si>
    <t xml:space="preserve">Total transfers out, all destinations, 2022</t>
  </si>
  <si>
    <t xml:space="preserve">The widest sending-side count HCUP supports.</t>
  </si>
  <si>
    <t xml:space="preserve">ED-originated share of all community hospital admissions, 2007</t>
  </si>
  <si>
    <t xml:space="preserve">Universe validation. If NEDS and AHA describe the same hospitals, ED-originated admissions should be a plausible and rising share of all admissions.</t>
  </si>
  <si>
    <t xml:space="preserve">ED-originated share of all community hospital admissions, 2022</t>
  </si>
  <si>
    <t xml:space="preserve">52.9% rising to 63.5%, consistent with the published literature. The numerator and denominator describe the same hospital universe. This is the strongest available check that the ratio on Acute_IFT_Series is not comparing unlike things.</t>
  </si>
  <si>
    <t xml:space="preserve">2015 destination-unknown is 7.89% of ED visits, against roughly 0.15% either side. That is the ICD-9 to ICD-10 transition. Never use 2015 or the 2015-to-2016 change.</t>
  </si>
  <si>
    <t xml:space="preserve">Sources. Columns B, C, D, G, I: HCUP NEDS and NIS weighted summary statistics (S01, S04). Column F: NEDS Introduction tables (S02, S03). Column H denominator: AHA (S05 to S10).</t>
  </si>
  <si>
    <t xml:space="preserve">2007 inpatient-origin transfers to other facility types were not carried in any source workbook, so total transfers out begins in 2008.</t>
  </si>
  <si>
    <t xml:space="preserve">Independent validation from the receiving hospital's record, 2012 to 2023</t>
  </si>
  <si>
    <t xml:space="preserve">The question: does the receiving end of the ledger agree with the sending end? A transfer has two ends, and the inpatient file counts arrivals independently of departures. This tab runs that agreement test, which is the workbook's internal validity check.</t>
  </si>
  <si>
    <t xml:space="preserve">Sending-side
episodes</t>
  </si>
  <si>
    <t xml:space="preserve">Transferred in from
an acute hospital
TRAN_IN = 1</t>
  </si>
  <si>
    <t xml:space="preserve">Conversion
rate</t>
  </si>
  <si>
    <t xml:space="preserve">Transferred in from
another facility type
TRAN_IN = 2</t>
  </si>
  <si>
    <t xml:space="preserve">All transfers in</t>
  </si>
  <si>
    <t xml:space="preserve">NIS total
discharges</t>
  </si>
  <si>
    <t xml:space="preserve">AHA community
admissions</t>
  </si>
  <si>
    <t xml:space="preserve">TRAN_IN = 1 as %
of NIS discharges</t>
  </si>
  <si>
    <t xml:space="preserve">TRAN_IN = 1 as %
of AHA admissions</t>
  </si>
  <si>
    <t xml:space="preserve">AHRQ changed the Point of Origin derivation: TRAN_IN = 2 jumps 61.5% and TRAN_IN = 1 jumps 10.9% in one year. Never trend across the 2016 to 2017 boundary.</t>
  </si>
  <si>
    <t xml:space="preserve">The TRAN_IN column itself is clean for 2023. The sending-side column pulls a NEDS break year.</t>
  </si>
  <si>
    <t xml:space="preserve">Denominator sensitivity, 2022. One numerator, three defensible denominators.</t>
  </si>
  <si>
    <t xml:space="preserve">Denominator</t>
  </si>
  <si>
    <t xml:space="preserve">TRAN_IN = 1 share</t>
  </si>
  <si>
    <t xml:space="preserve">Sending-side episode share</t>
  </si>
  <si>
    <t xml:space="preserve">AHA community hospital admissions (excludes newborns, includes rehab and LTACH)</t>
  </si>
  <si>
    <t xml:space="preserve">S09. This is the denominator used throughout the workbook.</t>
  </si>
  <si>
    <t xml:space="preserve">NIS total weighted discharges (includes newborns, excludes rehab and LTACH)</t>
  </si>
  <si>
    <t xml:space="preserve">S04. NIS 2022 Core weighted summary statistics.</t>
  </si>
  <si>
    <t xml:space="preserve">NIS discharges excluding in-hospital births</t>
  </si>
  <si>
    <t xml:space="preserve">S04. NIS 2022 total less I10_BIRTH = 1 (3,478,065). Closest match to the AHA admission definition, narrower hospital universe.</t>
  </si>
  <si>
    <t xml:space="preserve">Spread, high less low (percentage points)</t>
  </si>
  <si>
    <t xml:space="preserve">Read the conversion rate as: of every 100 acute-to-acute transfers sent, roughly 75 become an inpatient admission at a NIS-universe hospital. The other 25 went to a psychiatric, rehabilitation or long-term acute care hospital (all outside the NIS universe), were treated and released at the receiving ED, were placed in observation, or were not coded as a transfer in.</t>
  </si>
  <si>
    <t xml:space="preserve">AHA admissions equal 1.07 times NIS ex-birth discharges in every year 2019 to 2023 (1.070, 1.086, 1.071, 1.073, 1.067). The gap is stable and is the rehabilitation, LTACH and specialty hospital universe. Denominator choice moves the answer by roughly 0.8 points. Pick one, disclose it, do not mix.</t>
  </si>
  <si>
    <t xml:space="preserve">EMS activations and transports, NEMSIS 2019 to 2024</t>
  </si>
  <si>
    <t xml:space="preserve">The question: how many ambulance legs exist, and what share are interfacility? Hospital data counts patients moved; EMS data counts the vehicles moving them. This tab carries the national EMS activation series, its interfacility categories, and the external anchor that validates its coverage.</t>
  </si>
  <si>
    <t xml:space="preserve">Coverage. Read every count against this.</t>
  </si>
  <si>
    <t xml:space="preserve">Total activations (eResponse.05 table)</t>
  </si>
  <si>
    <t xml:space="preserve">Use the table total, not the cover box. The 2021 cover reprints the 2020 figures verbatim. The 2023 cover prints 54,190,579 against a table total of 46,040,873, a gap of 8.1M records.</t>
  </si>
  <si>
    <t xml:space="preserve">Participating states and territories</t>
  </si>
  <si>
    <t xml:space="preserve">2021: DE, ID, American Samoa and Puerto Rico did not participate.</t>
  </si>
  <si>
    <t xml:space="preserve">Number of agencies</t>
  </si>
  <si>
    <t xml:space="preserve">The 2021 agency count repeats 2020.</t>
  </si>
  <si>
    <t xml:space="preserve">Data standard</t>
  </si>
  <si>
    <t xml:space="preserve">v3.4</t>
  </si>
  <si>
    <t xml:space="preserve">v3.5</t>
  </si>
  <si>
    <t xml:space="preserve">v3.3.4 retired August 2021.</t>
  </si>
  <si>
    <t xml:space="preserve">Activation growth over this window is part demand and part coverage expansion (47 states to 54, 11,025 agencies to 14,756). Never read the activation CAGR as EMS volume growth.</t>
  </si>
  <si>
    <t xml:space="preserve">Type of service requested. eResponse.05. The value set expands from 7 categories (v3.4) to 18 (v3.5) in 2024, so the two blocks are NOT one series.</t>
  </si>
  <si>
    <t xml:space="preserve">Category (v3.4)</t>
  </si>
  <si>
    <t xml:space="preserve">Share 2019</t>
  </si>
  <si>
    <t xml:space="preserve">Share 2023</t>
  </si>
  <si>
    <t xml:space="preserve">CAGR 2019-2023</t>
  </si>
  <si>
    <t xml:space="preserve">911 Response (Scene)</t>
  </si>
  <si>
    <t xml:space="preserve">Medical Transport</t>
  </si>
  <si>
    <t xml:space="preserve">Interfacility Transport</t>
  </si>
  <si>
    <t xml:space="preserve">Public Assistance / Other Not Listed</t>
  </si>
  <si>
    <t xml:space="preserve">Standby</t>
  </si>
  <si>
    <t xml:space="preserve">Intercept</t>
  </si>
  <si>
    <t xml:space="preserve">Mutual Aid</t>
  </si>
  <si>
    <t xml:space="preserve">Type of service requested. v3.5 value set, 2024 only.</t>
  </si>
  <si>
    <t xml:space="preserve">Category (v3.5)</t>
  </si>
  <si>
    <t xml:space="preserve">Implied share</t>
  </si>
  <si>
    <t xml:space="preserve">Facility-to-facility?</t>
  </si>
  <si>
    <t xml:space="preserve">Emergency Response (Primary Response Area)</t>
  </si>
  <si>
    <t xml:space="preserve">Hospital-to-Hospital Transfer</t>
  </si>
  <si>
    <t xml:space="preserve">Other Routine Medical Transport</t>
  </si>
  <si>
    <t xml:space="preserve">Hospital to Non-Hospital Facility Transfer</t>
  </si>
  <si>
    <t xml:space="preserve">Public Assistance</t>
  </si>
  <si>
    <t xml:space="preserve">Non-Hospital Facility to Non-Hospital Facility Transfer</t>
  </si>
  <si>
    <t xml:space="preserve">Emergency Response (Mutual Aid)</t>
  </si>
  <si>
    <t xml:space="preserve">Non-Hospital Facility to Hospital Transfer</t>
  </si>
  <si>
    <t xml:space="preserve">Emergency Response (Intercept)</t>
  </si>
  <si>
    <t xml:space="preserve">Support Services</t>
  </si>
  <si>
    <t xml:space="preserve">Crew Transport Only</t>
  </si>
  <si>
    <t xml:space="preserve">Mobile Integrated Health Care Encounter</t>
  </si>
  <si>
    <t xml:space="preserve">Evaluation for Special Referral / Intake Programs</t>
  </si>
  <si>
    <t xml:space="preserve">Administrative Operations</t>
  </si>
  <si>
    <t xml:space="preserve">Transport of Organs or Body Parts</t>
  </si>
  <si>
    <t xml:space="preserve">Non-Patient Care Rescue / Extrication</t>
  </si>
  <si>
    <t xml:space="preserve">Mortuary Services</t>
  </si>
  <si>
    <t xml:space="preserve">The 2024 interfacility book, isolated</t>
  </si>
  <si>
    <t xml:space="preserve">2024 activations</t>
  </si>
  <si>
    <t xml:space="preserve">% of all activations</t>
  </si>
  <si>
    <t xml:space="preserve">All facility-to-facility transfers (four categories)</t>
  </si>
  <si>
    <t xml:space="preserve">Other Routine Medical Transport (dialysis, appointments, return home)</t>
  </si>
  <si>
    <t xml:space="preserve">Other Routine Medical Transport is not interfacility transfer and is excluded from every IFT figure in this workbook.</t>
  </si>
  <si>
    <t xml:space="preserve">NEMSIS Hospital-to-Hospital Transfer is acute-to-acute PLUS transfers to psychiatric, rehabilitation and long-term acute care hospitals, and it includes return legs. HCUP codes those destinations as DISP_ED = 5 or DISPUNIFORM = 5, not = 2. This is the largest single driver of the wedge on the Cross_Source_Recon tab.</t>
  </si>
  <si>
    <t xml:space="preserve">Type of destination. eDisposition.21. Stable value set across all six years, the cleanest series in the NEMSIS reports.</t>
  </si>
  <si>
    <t xml:space="preserve">Destination</t>
  </si>
  <si>
    <t xml:space="preserve">Share 2024</t>
  </si>
  <si>
    <t xml:space="preserve">CAGR 2019-2024</t>
  </si>
  <si>
    <t xml:space="preserve">Hospital, Emergency Department</t>
  </si>
  <si>
    <t xml:space="preserve">Hospital, Non-Emergency Department Bed</t>
  </si>
  <si>
    <t xml:space="preserve">Other EMS Responder (ground)</t>
  </si>
  <si>
    <t xml:space="preserve">Freestanding Emergency Department</t>
  </si>
  <si>
    <t xml:space="preserve">Home</t>
  </si>
  <si>
    <t xml:space="preserve">Other</t>
  </si>
  <si>
    <t xml:space="preserve">Nursing Home / Assisted Living Facility</t>
  </si>
  <si>
    <t xml:space="preserve">Morgue / Mortuary</t>
  </si>
  <si>
    <t xml:space="preserve">Other EMS Responder (air)</t>
  </si>
  <si>
    <t xml:space="preserve">Medical Office / Clinic</t>
  </si>
  <si>
    <t xml:space="preserve">Urgent Care</t>
  </si>
  <si>
    <t xml:space="preserve">Police / Jail</t>
  </si>
  <si>
    <t xml:space="preserve">TOTAL transports</t>
  </si>
  <si>
    <t xml:space="preserve">NEMSIS coverage of EMS-to-ED transport, benchmarked against a probability sample</t>
  </si>
  <si>
    <t xml:space="preserve">NEDS weighted US ED visits</t>
  </si>
  <si>
    <t xml:space="preserve">Ratio</t>
  </si>
  <si>
    <t xml:space="preserve">Participating states</t>
  </si>
  <si>
    <t xml:space="preserve">Only 47 states participate. The gap is the missing seven.</t>
  </si>
  <si>
    <t xml:space="preserve">Three states added. Ratio jumps 4.7 points.</t>
  </si>
  <si>
    <t xml:space="preserve">Denominator falls with COVID. Ratio keeps climbing.</t>
  </si>
  <si>
    <t xml:space="preserve">Full participation. Ratio lands on the independent NHAMCS anchor.</t>
  </si>
  <si>
    <t xml:space="preserve">Ratio falls 2.8 points with no coverage change. This is the 2023 NEMSIS denominator defect, independently confirmed.</t>
  </si>
  <si>
    <t xml:space="preserve">NEDS 2024 is not yet released.</t>
  </si>
  <si>
    <t xml:space="preserve">NHAMCS anchor</t>
  </si>
  <si>
    <t xml:space="preserve">NEDS carries no arrival-mode element, so the anchor has to come from NHAMCS.</t>
  </si>
  <si>
    <t xml:space="preserve">Verdict. NEMSIS coverage of EMS-to-ED transport rises from roughly 11% to roughly 17.5% of US ED visits as participating states go from 47 to 54, then converges on the independent NHAMCS ambulance-arrival anchor of about 16%. The 2019 undercount is measurable, not hypothetical. The 2023 dip is a defect, not a market event.</t>
  </si>
  <si>
    <t xml:space="preserve">Transport mode from scene. eResponse.23. All EMS transports, not IFT-specific.</t>
  </si>
  <si>
    <t xml:space="preserve">Category</t>
  </si>
  <si>
    <t xml:space="preserve">Non-Emergent</t>
  </si>
  <si>
    <t xml:space="preserve">Emergent (Immediate Response)</t>
  </si>
  <si>
    <t xml:space="preserve">Emergent Downgraded to Non-Emergent</t>
  </si>
  <si>
    <t xml:space="preserve">Non-Emergent Upgraded to Emergent</t>
  </si>
  <si>
    <t xml:space="preserve">Roughly two thirds of all EMS transports run non-emergent. Non-emergent is the transport mode an interfacility book is built on, but this exhibit covers all EMS transports and cannot be cut to IFT alone in the public reports.</t>
  </si>
  <si>
    <t xml:space="preserve">Table metrics: withheld.</t>
  </si>
  <si>
    <t xml:space="preserve">No CAGR is computed on the activation series above: agency participation in the national EMS registry grew across the window, so a raw growth rate would measure reporting adoption, not demand (Fault_Audit item M). Coverage-adjusted reads only.</t>
  </si>
  <si>
    <t xml:space="preserve">Medicare fee-for-service ambulance transports by origin, destination and acuity, 2022 to 2024</t>
  </si>
  <si>
    <t xml:space="preserve">The question: what does Medicare fee-for-service actually pay for ambulance transport, at what acuity, between which endpoints? The Physician/Supplier Procedure Summary is the only public file carrying dollars, acuity, and origin-destination on the same row. This tab establishes the verified totals every later tab reconciles against.</t>
  </si>
  <si>
    <t xml:space="preserve">Panel A. Origin-destination pairs, all ambulance base-rate HCPCS (A0426, A0427, A0428, A0429, A0433, A0434)</t>
  </si>
  <si>
    <t xml:space="preserve">Modifier</t>
  </si>
  <si>
    <t xml:space="preserve">Origin and destination</t>
  </si>
  <si>
    <t xml:space="preserve">2022 services</t>
  </si>
  <si>
    <t xml:space="preserve">2023 services</t>
  </si>
  <si>
    <t xml:space="preserve">2024 services</t>
  </si>
  <si>
    <t xml:space="preserve">2024 share</t>
  </si>
  <si>
    <t xml:space="preserve">CAGR 2022-2024</t>
  </si>
  <si>
    <t xml:space="preserve">RH</t>
  </si>
  <si>
    <t xml:space="preserve">Residence to hospital</t>
  </si>
  <si>
    <t xml:space="preserve">HN</t>
  </si>
  <si>
    <t xml:space="preserve">Hospital to SNF</t>
  </si>
  <si>
    <t xml:space="preserve">NH</t>
  </si>
  <si>
    <t xml:space="preserve">SNF to hospital</t>
  </si>
  <si>
    <t xml:space="preserve">SH</t>
  </si>
  <si>
    <t xml:space="preserve">Scene to hospital</t>
  </si>
  <si>
    <t xml:space="preserve">HH</t>
  </si>
  <si>
    <t xml:space="preserve">Hospital to hospital</t>
  </si>
  <si>
    <t xml:space="preserve">EH</t>
  </si>
  <si>
    <t xml:space="preserve">Residential or domiciliary to hospital</t>
  </si>
  <si>
    <t xml:space="preserve">HR</t>
  </si>
  <si>
    <t xml:space="preserve">Hospital to residence</t>
  </si>
  <si>
    <t xml:space="preserve">HE</t>
  </si>
  <si>
    <t xml:space="preserve">Hospital to residential or domiciliary</t>
  </si>
  <si>
    <t xml:space="preserve">RJ</t>
  </si>
  <si>
    <t xml:space="preserve">Residence to freestanding ESRD facility</t>
  </si>
  <si>
    <t xml:space="preserve">JR</t>
  </si>
  <si>
    <t xml:space="preserve">Freestanding ESRD facility to residence</t>
  </si>
  <si>
    <t xml:space="preserve">NJ</t>
  </si>
  <si>
    <t xml:space="preserve">SNF to freestanding ESRD facility</t>
  </si>
  <si>
    <t xml:space="preserve">JN</t>
  </si>
  <si>
    <t xml:space="preserve">Freestanding ESRD facility to SNF</t>
  </si>
  <si>
    <t xml:space="preserve">All other origin-destination pairs</t>
  </si>
  <si>
    <t xml:space="preserve">Total, origin-destination coded</t>
  </si>
  <si>
    <t xml:space="preserve">The NJ and JN modifier labels are read from the CMS modifier convention (N = skilled nursing facility, J = freestanding ESRD facility). The source workbook left them unlabeled.</t>
  </si>
  <si>
    <t xml:space="preserve">Panel B. Hospital-to-hospital transports by acuity level. This is the only hard acuity evidence available for an interfacility book.</t>
  </si>
  <si>
    <t xml:space="preserve">HCPCS</t>
  </si>
  <si>
    <t xml:space="preserve">Acuity level</t>
  </si>
  <si>
    <t xml:space="preserve">2024 mix</t>
  </si>
  <si>
    <t xml:space="preserve">A0428</t>
  </si>
  <si>
    <t xml:space="preserve">BLS, non-emergency</t>
  </si>
  <si>
    <t xml:space="preserve">A0426</t>
  </si>
  <si>
    <t xml:space="preserve">ALS1, non-emergency</t>
  </si>
  <si>
    <t xml:space="preserve">A0427</t>
  </si>
  <si>
    <t xml:space="preserve">ALS1, emergency</t>
  </si>
  <si>
    <t xml:space="preserve">A0429</t>
  </si>
  <si>
    <t xml:space="preserve">BLS, emergency</t>
  </si>
  <si>
    <t xml:space="preserve">A0434</t>
  </si>
  <si>
    <t xml:space="preserve">A0433</t>
  </si>
  <si>
    <t xml:space="preserve">Total hospital-to-hospital</t>
  </si>
  <si>
    <t xml:space="preserve">Panel C. What Panel B settles</t>
  </si>
  <si>
    <t xml:space="preserve">2024 value</t>
  </si>
  <si>
    <t xml:space="preserve">Non-emergency BLS and ALS1 share of hospital-to-hospital transports</t>
  </si>
  <si>
    <t xml:space="preserve">Nearly two thirds of the Medicare interfacility book is scheduled, low-acuity work.</t>
  </si>
  <si>
    <t xml:space="preserve">Specialty Care Transport (A0434) share</t>
  </si>
  <si>
    <t xml:space="preserve">Any unit-economics model that assumes an SCT-weighted rate mix is wrong on the Medicare book.</t>
  </si>
  <si>
    <t xml:space="preserve">ALS2 (A0433) share</t>
  </si>
  <si>
    <t xml:space="preserve">ALS2 is the only hospital-to-hospital acuity tier shrinking in absolute terms.</t>
  </si>
  <si>
    <t xml:space="preserve">Emergent share (ALS1 emergency + BLS emergency)</t>
  </si>
  <si>
    <t xml:space="preserve">Emergent interfacility work is growing fastest but is still under a third of volume.</t>
  </si>
  <si>
    <t xml:space="preserve">Volume-weighted RVU of the hospital-to-hospital book</t>
  </si>
  <si>
    <t xml:space="preserve">Expressed as multiples of a BLS run (RVU 1.00). The Medicare interfacility book prices at roughly 1.45 BLS units, not 3.25.</t>
  </si>
  <si>
    <t xml:space="preserve">Hospital-to-hospital CAGR, 2022 to 2024</t>
  </si>
  <si>
    <t xml:space="preserve">Interfacility is gaining share of a shrinking Medicare fee-for-service book.</t>
  </si>
  <si>
    <t xml:space="preserve">All Medicare FFS ambulance CAGR, 2022 to 2024</t>
  </si>
  <si>
    <t xml:space="preserve">Total fee-for-service ambulance volume falls as enrollment shifts to Medicare Advantage.</t>
  </si>
  <si>
    <t xml:space="preserve">Limits. Carrier claims only. Hospital-owned ambulance departments bill institutionally and do not appear. Medicare fee-for-service only, a shrinking share as Medicare Advantage grows. Denied service counts are suppressed. The RVU column is Source S14 and is shown to weight the mix, not to compute dollars.</t>
  </si>
  <si>
    <t xml:space="preserve">Panel D. Real dollars. Allowed charges and Medicare payments on the hospital-to-hospital book, straight from the claims.</t>
  </si>
  <si>
    <t xml:space="preserve">2024 transports</t>
  </si>
  <si>
    <t xml:space="preserve">2024 allowed charges</t>
  </si>
  <si>
    <t xml:space="preserve">Allowed per transport</t>
  </si>
  <si>
    <t xml:space="preserve">% of transports</t>
  </si>
  <si>
    <t xml:space="preserve">% of allowed $</t>
  </si>
  <si>
    <t xml:space="preserve">Implied $ per RVU</t>
  </si>
  <si>
    <t xml:space="preserve">Total hospital-to-hospital base rate</t>
  </si>
  <si>
    <t xml:space="preserve">Allowed charges are for SUBMITTED services, which include denied lines carrying $0 allowed. Implied dollars per RVU therefore sit below the published conversion factor.</t>
  </si>
  <si>
    <t xml:space="preserve">Panel E. The complete hospital-to-hospital book: base rate plus mileage.</t>
  </si>
  <si>
    <t xml:space="preserve">CAGR 2022-24</t>
  </si>
  <si>
    <t xml:space="preserve">Transports (submitted services)</t>
  </si>
  <si>
    <t xml:space="preserve">Modifier HH, six ground base-rate HCPCS.</t>
  </si>
  <si>
    <t xml:space="preserve">Base-rate allowed charges</t>
  </si>
  <si>
    <t xml:space="preserve">PSPS_ALLOWED_CHARGE_AMT.</t>
  </si>
  <si>
    <t xml:space="preserve">Ground mileage allowed charges (A0425)</t>
  </si>
  <si>
    <t xml:space="preserve">Mileage is billed separately from the base rate.</t>
  </si>
  <si>
    <t xml:space="preserve">Loaded mileage units</t>
  </si>
  <si>
    <t xml:space="preserve">One unit is one loaded statute mile.</t>
  </si>
  <si>
    <t xml:space="preserve">TOTAL allowed charges</t>
  </si>
  <si>
    <t xml:space="preserve">The complete Medicare fee-for-service, carrier-billed, hospital-to-hospital ambulance book.</t>
  </si>
  <si>
    <t xml:space="preserve">The single most useful unit-economics number in this workbook.</t>
  </si>
  <si>
    <t xml:space="preserve">Loaded miles per transport</t>
  </si>
  <si>
    <t xml:space="preserve">Interfacility transports run roughly three times the distance of a typical 911 scene run. This is the structural reason mileage is such a large share of the revenue.</t>
  </si>
  <si>
    <t xml:space="preserve">CY2024 comes to $8.79 against the published CY2024 ground mileage rate of $8.76. An independent confirmation that this extraction and the published fee schedule agree.</t>
  </si>
  <si>
    <t xml:space="preserve">Mileage as a share of allowed dollars</t>
  </si>
  <si>
    <t xml:space="preserve">Nearly half the Medicare revenue on an interfacility transport is mileage, not the base rate. Any model that prices only the base rate misses 45% of the revenue.</t>
  </si>
  <si>
    <t xml:space="preserve">Medicare payment as a share of allowed (base rate)</t>
  </si>
  <si>
    <t xml:space="preserve">Statute sets Part B at 80% of the approved amount after the deductible. The realized 77.7% is the deductible and secondary-payer drag. A clean internal validation of the claims pull.</t>
  </si>
  <si>
    <t xml:space="preserve">Panel F. Where the hospital-to-hospital book sits inside all Medicare carrier-billed ground ambulance.</t>
  </si>
  <si>
    <t xml:space="preserve">All ground ambulance allowed charges (base + mileage, all origin-destination pairs)</t>
  </si>
  <si>
    <t xml:space="preserve">Six ground base-rate HCPCS plus A0425. Carrier claims only.</t>
  </si>
  <si>
    <t xml:space="preserve">All ground ambulance Medicare payments (NCH)</t>
  </si>
  <si>
    <t xml:space="preserve">MedPAC reports $3.9B of Medicare FFS ambulance program spending in 2022 (Payment Basics, excluding beneficiary cost sharing) and $5.3B of total Medicare payments for AFS-covered transports in 2024 (June 2026 mandated report). The claims say carrier-billed GROUND program payments were $3.72B in 2022 and $3.96B in 2024; adding air ambulance takes 2022 to $4.20B. So the 2022 figure cannot be all-ambulance program payments. MedPAC does not state the scope of either measure. See Panel G.</t>
  </si>
  <si>
    <t xml:space="preserve">Hospital-to-hospital share of all ground allowed dollars</t>
  </si>
  <si>
    <t xml:space="preserve">Interfacility is roughly one ninth of the Medicare fee-for-service carrier ground ambulance dollar, and it is growing while the whole is flat.</t>
  </si>
  <si>
    <t xml:space="preserve">Hospital-to-hospital share of all origin-destination-coded transports</t>
  </si>
  <si>
    <t xml:space="preserve">Higher dollar share than volume share: interfacility transports are longer and higher acuity than the average Medicare ambulance run.</t>
  </si>
  <si>
    <t xml:space="preserve">The two MedPAC spend figures do NOT reconcile cleanly against the claims, and an earlier version of this workbook said they did. That claim is withdrawn. What the claims support is stated in Panel G below.</t>
  </si>
  <si>
    <t xml:space="preserve">Suppression. CMS masks any cell with fewer than 11 services. In 2024, 24,781 of the origin-destination-coded rows are suppressed. The maximum hidden volume is therefore about 263,000 services, or 2.5% of the 10,637,727 counted. Every figure on this tab is a floor by that margin.</t>
  </si>
  <si>
    <t xml:space="preserve">Reproduce: GET https://data.cms.gov/data-api/revision 1/dataset/164fc736-4179-4100-9f79-592b69e41975/data?filter[HCPCS_CD]=A0428 (2024). Dataset UUIDs: 2022 e4786716-10e9-40f2-b936-7444177474d5, 2023 b72adfb6-22cf-4241-9c64-050ad9061e03, 2024 164fc736-4179-4100-9f79-592b69e41975.</t>
  </si>
  <si>
    <t xml:space="preserve">Panel G. Reconciling MedPAC's published spend figures against the raw claims. Stated honestly.</t>
  </si>
  <si>
    <t xml:space="preserve">What it covers</t>
  </si>
  <si>
    <t xml:space="preserve">Carrier-billed GROUND ambulance, Medicare paid</t>
  </si>
  <si>
    <t xml:space="preserve">Six ground base HCPCS plus A0425 mileage, all modifiers. PSPS.</t>
  </si>
  <si>
    <t xml:space="preserve">Carrier-billed AIR ambulance and paramedic intercept, Medicare paid</t>
  </si>
  <si>
    <t xml:space="preserve">A0430, A0431, A0435, A0436, A0432. PSPS.</t>
  </si>
  <si>
    <t xml:space="preserve">All AFS-covered carrier claims, Medicare paid</t>
  </si>
  <si>
    <t xml:space="preserve">Sum of the two rows above. Institutionally billed ambulance is NOT in PSPS and is therefore excluded.</t>
  </si>
  <si>
    <t xml:space="preserve">All AFS-covered carrier claims, allowed charges</t>
  </si>
  <si>
    <t xml:space="preserve">Program payment plus beneficiary cost sharing, plus non-covered allowed amounts.</t>
  </si>
  <si>
    <t xml:space="preserve">MedPAC published figure</t>
  </si>
  <si>
    <t xml:space="preserve">2022: 'program spending, not including beneficiary cost sharing' (Payment Basics). 2024: 'total Medicare payments for AFS-covered transports' (June 2026 Ch.6). Different measures, different years.</t>
  </si>
  <si>
    <t xml:space="preserve">MedPAC transports</t>
  </si>
  <si>
    <t xml:space="preserve">2024. Carrier-billed base-rate transports in PSPS total about 10.76M, or 95% of this.</t>
  </si>
  <si>
    <t xml:space="preserve">MedPAC implied payment per transport</t>
  </si>
  <si>
    <t xml:space="preserve">2024. Sits between the claims-derived $415 program payment and $531 allowed charge per transport.</t>
  </si>
  <si>
    <t xml:space="preserve">Conclusion. MedPAC's 2024 figure of $5.3B lies between the carrier-claims program payment of $4.47B and the allowed charge of $5.71B, consistent with a payment measure that includes institutionally billed ambulance (absent from PSPS) or some beneficiary cost sharing. MedPAC's 2022 figure of $3.9B lies BELOW the carrier-claims ground-plus-air program payment of $4.20B, so it cannot be all-ambulance program spending on the same basis; it is consistent with ground-only. Neither document states its scope. Quote each figure with its own label and do not combine them.</t>
  </si>
  <si>
    <t xml:space="preserve">Medicare interfacility ambulance, 2010 to 2024. Fifteen years, rebuilt from raw CMS claims.</t>
  </si>
  <si>
    <t xml:space="preserve">The question: is the Medicare hospital-to-hospital book growing or shrinking? No published table contains this series, so it was built by pulling fifteen annual claim files and filtering the hospital-to-hospital modifier. The overlap years reproduce the verified totals exactly.</t>
  </si>
  <si>
    <t xml:space="preserve">Transports</t>
  </si>
  <si>
    <t xml:space="preserve">Base-rate
allowed $</t>
  </si>
  <si>
    <t xml:space="preserve">Mileage
allowed $</t>
  </si>
  <si>
    <t xml:space="preserve">TOTAL
allowed $</t>
  </si>
  <si>
    <t xml:space="preserve">Medicare
paid $</t>
  </si>
  <si>
    <t xml:space="preserve">Allowed per
transport</t>
  </si>
  <si>
    <t xml:space="preserve">Loaded miles
per transport</t>
  </si>
  <si>
    <t xml:space="preserve">Allowed per
loaded mile</t>
  </si>
  <si>
    <t xml:space="preserve">Volume-weighted
RVU</t>
  </si>
  <si>
    <t xml:space="preserve">SCT share
of transports</t>
  </si>
  <si>
    <t xml:space="preserve">Non-emergency BLS
share of transports</t>
  </si>
  <si>
    <t xml:space="preserve">What the fifteen-year view says that the three-year view does not.</t>
  </si>
  <si>
    <t xml:space="preserve">Peak year for Medicare FFS interfacility transports</t>
  </si>
  <si>
    <t xml:space="preserve">1,139,524 transports. Every year since has been lower.</t>
  </si>
  <si>
    <t xml:space="preserve">Transports, 2024 against the 2017 peak</t>
  </si>
  <si>
    <t xml:space="preserve">The Medicare fee-for-service interfacility book is a quarter smaller than it was in 2017.</t>
  </si>
  <si>
    <t xml:space="preserve">Real growth in the pre-COVID, pre-Medicare-Advantage-surge era.</t>
  </si>
  <si>
    <t xml:space="preserve">The reversal. Medicare Advantage enrolment crossing 50% is the dominant driver, not demand.</t>
  </si>
  <si>
    <t xml:space="preserve">Transport CAGR, 2022 to 2024</t>
  </si>
  <si>
    <t xml:space="preserve">CAUTION. This is the recovery off the 2022 trough, not a growth rate. Quoting it as trend is the single easiest mistake to make with this series.</t>
  </si>
  <si>
    <t xml:space="preserve">Dollars grew while transports shrank.</t>
  </si>
  <si>
    <t xml:space="preserve">Total allowed CAGR, 2022 to 2024</t>
  </si>
  <si>
    <t xml:space="preserve">Again a trough-to-peak artefact. Never annualise it forward.</t>
  </si>
  <si>
    <t xml:space="preserve">Below the 3.0% average Ambulance Inflation Factor over the same window. Realised rate growth lags the statutory update.</t>
  </si>
  <si>
    <t xml:space="preserve">Allowed per loaded mile CAGR, 2010 to 2024</t>
  </si>
  <si>
    <t xml:space="preserve">$6.92 in 2010 to $8.79 in 2024.</t>
  </si>
  <si>
    <t xml:space="preserve">Mileage as a share of allowed dollars, 2010</t>
  </si>
  <si>
    <t xml:space="preserve">Mileage has been roughly 43-45% of Medicare interfacility revenue for fifteen straight years.</t>
  </si>
  <si>
    <t xml:space="preserve">Mileage as a share of allowed dollars, 2024</t>
  </si>
  <si>
    <t xml:space="preserve">Stable. Any model that prices only the base rate has been wrong for fifteen years, not just recently.</t>
  </si>
  <si>
    <t xml:space="preserve">Volume-weighted RVU, 2010</t>
  </si>
  <si>
    <t xml:space="preserve">1.472.</t>
  </si>
  <si>
    <t xml:space="preserve">Volume-weighted RVU, 2024</t>
  </si>
  <si>
    <t xml:space="preserve">1.450. The Medicare interfacility acuity mix has moved by 1.5% in fifteen years.</t>
  </si>
  <si>
    <t xml:space="preserve">SCT share of transports, range 2010 to 2024</t>
  </si>
  <si>
    <t xml:space="preserve">6.5% to 7.4%</t>
  </si>
  <si>
    <t xml:space="preserve">A 0.9 point band across fifteen years. There is no acuity escalation in the Medicare interfacility book, and there never was.</t>
  </si>
  <si>
    <t xml:space="preserve">Medicare paid as a share of allowed, 2024</t>
  </si>
  <si>
    <t xml:space="preserve">Statute sets Part B at 80% after the deductible. 77.9% realised. Stable across the whole series.</t>
  </si>
  <si>
    <t xml:space="preserve">Suppression. CMS masks any cell with fewer than 11 services. Suppressed rows were excluded from the sums, not imputed, so every figure here is a floor. The masked share of hospital-to-hospital volume is on the order of 2%.</t>
  </si>
  <si>
    <t xml:space="preserve">Scope. Carrier claims only. Hospital-owned ambulance departments bill institutionally and never enter PSPS. Medicare Advantage is entirely absent. The commercial book is not measured.</t>
  </si>
  <si>
    <t xml:space="preserve">Reproduce: GET https://data.cms.gov/data-api/revision 1/dataset/{uuid}/data?filter[HCPCS_INITIAL_MODIFIER_CD]=HH, one dataset per year, then aggregate A0426, A0427, A0428, A0429, A0433, A0434 (base) and A0425 (mileage). Pre-2021 files drop the PSPS_ prefix on the amount fields.</t>
  </si>
  <si>
    <t xml:space="preserve">CAGR, transports, 2010 to 2024</t>
  </si>
  <si>
    <t xml:space="preserve">CAGR, transports, 2019 to 2024</t>
  </si>
  <si>
    <t xml:space="preserve">CAGR, allowed dollars, 2010 to 2024</t>
  </si>
  <si>
    <t xml:space="preserve">Peak year, transports</t>
  </si>
  <si>
    <t xml:space="preserve">Decline from peak to 2024</t>
  </si>
  <si>
    <t xml:space="preserve">HH share of ground, change 2010 to 2024 (points)</t>
  </si>
  <si>
    <t xml:space="preserve">All figures computed from the series above. Book-level CAGRs are payer-window figures: the per-beneficiary rates on Utilization_Normalized carry the demand signal.</t>
  </si>
  <si>
    <t xml:space="preserve">The complete Medicare origin-destination dollar map, 2019 to 2024</t>
  </si>
  <si>
    <t xml:space="preserve">The question: where does the entire Medicare ambulance dollar go, pair by pair? The complete origin-destination map, rebuilt from 392,409 raw claim-summary rows and reconciling to the prior extraction to the cent. The headline surprise: the nursing-facility interface, not the hospital pair, is the largest facility-to-facility channel.</t>
  </si>
  <si>
    <t xml:space="preserve">Panel A. 2024, all origin-destination pairs with at least 20,000 transports, ranked by volume. Ground base HCPCS (A0426-A0434) plus A0425 mileage.</t>
  </si>
  <si>
    <t xml:space="preserve">Pair</t>
  </si>
  <si>
    <t xml:space="preserve">Transports 2024</t>
  </si>
  <si>
    <t xml:space="preserve">Base allowed $ 2024</t>
  </si>
  <si>
    <t xml:space="preserve">Mileage allowed $ 2024</t>
  </si>
  <si>
    <t xml:space="preserve">Total allowed $ 2024</t>
  </si>
  <si>
    <t xml:space="preserve">% of total allowed $</t>
  </si>
  <si>
    <t xml:space="preserve">Transports 2019</t>
  </si>
  <si>
    <t xml:space="preserve">Allowed dollars per transport</t>
  </si>
  <si>
    <t xml:space="preserve">Share of top-pairs volume shown</t>
  </si>
  <si>
    <t xml:space="preserve">Residential/domiciliary to hospital</t>
  </si>
  <si>
    <t xml:space="preserve">Hospital to residential/domiciliary</t>
  </si>
  <si>
    <t xml:space="preserve">Residence to freestanding ESRD</t>
  </si>
  <si>
    <t xml:space="preserve">Freestanding ESRD to residence</t>
  </si>
  <si>
    <t xml:space="preserve">SNF to freestanding ESRD</t>
  </si>
  <si>
    <t xml:space="preserve">Freestanding ESRD to SNF</t>
  </si>
  <si>
    <t xml:space="preserve">PH</t>
  </si>
  <si>
    <t xml:space="preserve">Physician office to hospital</t>
  </si>
  <si>
    <t xml:space="preserve">JH</t>
  </si>
  <si>
    <t xml:space="preserve">Freestanding ESRD to hospital</t>
  </si>
  <si>
    <t xml:space="preserve">NP</t>
  </si>
  <si>
    <t xml:space="preserve">SNF to physician office</t>
  </si>
  <si>
    <t xml:space="preserve">PN</t>
  </si>
  <si>
    <t xml:space="preserve">See Code_Crosswalks</t>
  </si>
  <si>
    <t xml:space="preserve">Resid</t>
  </si>
  <si>
    <t xml:space="preserve">All other origin-destination pairs (formula: total less the rows above)</t>
  </si>
  <si>
    <t xml:space="preserve">All origin-destination coded pairs, 2024</t>
  </si>
  <si>
    <t xml:space="preserve">Hospital-to-hospital is the fifth-largest pair by volume and the third-largest by dollars. The SNF interface is the larger facility channel: NH plus HN together carried 2,398,253 transports in 2024, 2.75 times the HH book, because SNF residents generate both the emergency leg out and the discharge leg back. A transport market thesis built only on HH ignores the majority of the facility-to-facility dollar.</t>
  </si>
  <si>
    <t xml:space="preserve">Panel B. Year totals, all pairs, 2019 to 2024. Cross-check layer: the 2022 to 2024 rows reproduce Medicare_PSPS Panel F to the cent.</t>
  </si>
  <si>
    <t xml:space="preserve">Base-rate services</t>
  </si>
  <si>
    <t xml:space="preserve">Base allowed $</t>
  </si>
  <si>
    <t xml:space="preserve">Mileage allowed $</t>
  </si>
  <si>
    <t xml:space="preserve">Total allowed $</t>
  </si>
  <si>
    <t xml:space="preserve">Medicare paid $ (base+mileage)</t>
  </si>
  <si>
    <t xml:space="preserve">O-D coded services</t>
  </si>
  <si>
    <t xml:space="preserve">Change vs 2019</t>
  </si>
  <si>
    <t xml:space="preserve">Verification. 2022 total allowed $4,753,662,348, 2023 $4,992,692,676, 2024 $5,073,090,003 and the paid figures $3,722,057,066 / $3,892,079,508 / $3,957,457,371 match Medicare_PSPS Panel F exactly. The independent rebuild and the revision 1 extraction agree to the cent.</t>
  </si>
  <si>
    <t xml:space="preserve">Panel C. What sits outside the origin-destination map. Initial-modifier positions that carry payment modifiers, not O-D pairs, 2024.</t>
  </si>
  <si>
    <t xml:space="preserve">Meaning</t>
  </si>
  <si>
    <t xml:space="preserve">Base services 2024</t>
  </si>
  <si>
    <t xml:space="preserve">QL</t>
  </si>
  <si>
    <t xml:space="preserve">Patient pronounced dead after ambulance called</t>
  </si>
  <si>
    <t xml:space="preserve">GW</t>
  </si>
  <si>
    <t xml:space="preserve">Service not related to hospice terminal condition</t>
  </si>
  <si>
    <t xml:space="preserve">GY</t>
  </si>
  <si>
    <t xml:space="preserve">Statutorily excluded service</t>
  </si>
  <si>
    <t xml:space="preserve">QN</t>
  </si>
  <si>
    <t xml:space="preserve">Ambulance furnished directly by a provider of services</t>
  </si>
  <si>
    <t xml:space="preserve">QM</t>
  </si>
  <si>
    <t xml:space="preserve">Ambulance under arrangement by a provider of services</t>
  </si>
  <si>
    <t xml:space="preserve">GV</t>
  </si>
  <si>
    <t xml:space="preserve">Attributable to hospice attending physician</t>
  </si>
  <si>
    <t xml:space="preserve">GM</t>
  </si>
  <si>
    <t xml:space="preserve">Multiple patients on one ambulance trip</t>
  </si>
  <si>
    <t xml:space="preserve">U1</t>
  </si>
  <si>
    <t xml:space="preserve">Medicaid state-defined modifier</t>
  </si>
  <si>
    <t xml:space="preserve">47,144 base services (0.44%) carry a payment modifier in the initial position and no O-D pair. The O-D coded total of 10,637,766 differs from the initial figure of 10,637,727 by 39 services (0.0004%): PSPS service counts contain fractional values (shared services) and the initial pipeline truncated them. Logged as Data_Quality_Register #27 and #28.</t>
  </si>
  <si>
    <t xml:space="preserve">Suppression. CMS masks any cell under 11 services. Suppressed base-code rows: 2019 23,896 of 36,265; 2024 26,573 of 39,248 (Source S39 pull). Maximum hidden volume is 10 services per masked cell. Every figure on this tab is a floor.</t>
  </si>
  <si>
    <t xml:space="preserve">Source S39. Reproduce: GET https://data.cms.gov/data-api/revision 1/dataset/{uuid}/data?filter[HCPCS_CD]={code}, dataset UUIDs on Verification_Log Panel F. Fractional service counts summed as floats.</t>
  </si>
  <si>
    <t xml:space="preserve">CAGR, all O-D coded transports, 2022 to 2024</t>
  </si>
  <si>
    <t xml:space="preserve">CAGR, 2019 to 2024</t>
  </si>
  <si>
    <t xml:space="preserve">Unit economics by pair (allowed dollars per transport, table above) are the workbook's cleanest acuity-price signal: the SCT-heavy pairs price at multiples of the scheduled pairs.</t>
  </si>
  <si>
    <t xml:space="preserve">Per-beneficiary utilization: the denominator explains half the decline.</t>
  </si>
  <si>
    <t xml:space="preserve">The question: is the Medicare volume decline real demand loss or a shrinking denominator? The fee-for-service population fell 15.5% over the same window, so this tab divides every series by enrollment. The answer: roughly half the apparent decline is the denominator, and the air channel actually grows per beneficiary.</t>
  </si>
  <si>
    <t xml:space="preserve">Panel A. The denominator. CMS Medicare Monthly Enrollment, national, annual average persons (S60). Pulled from the data.cms.gov API on 10 July 2026.</t>
  </si>
  <si>
    <t xml:space="preserve">Total Medicare</t>
  </si>
  <si>
    <t xml:space="preserve">Original Medicare, Part A and B</t>
  </si>
  <si>
    <t xml:space="preserve">Original Medicare, any part</t>
  </si>
  <si>
    <t xml:space="preserve">MA and other plans</t>
  </si>
  <si>
    <t xml:space="preserve">A and B FFS share of total</t>
  </si>
  <si>
    <t xml:space="preserve">The A and B fee-for-service population fell from 32.8M (2019) to 27.7M (2024), minus 15.5%, then ROSE 0.9% in 2025, its first increase in the series, as Medicare Advantage growth decelerated. Every raw decline below must be read against this denominator.</t>
  </si>
  <si>
    <t xml:space="preserve">Panel B. Transports per 1,000 A and B fee-for-service beneficiaries. Numerators link (green) to their evidence tabs; nothing is retyped.</t>
  </si>
  <si>
    <t xml:space="preserve">Series</t>
  </si>
  <si>
    <t xml:space="preserve">2019 transports</t>
  </si>
  <si>
    <t xml:space="preserve">2019 per 1,000</t>
  </si>
  <si>
    <t xml:space="preserve">2024 per 1,000</t>
  </si>
  <si>
    <t xml:space="preserve">CAGR per beneficiary, 2019 to 2024</t>
  </si>
  <si>
    <t xml:space="preserve">Per-1,000 change</t>
  </si>
  <si>
    <t xml:space="preserve">All O-D coded ground transports</t>
  </si>
  <si>
    <t xml:space="preserve">Hospital-to-hospital (HH)</t>
  </si>
  <si>
    <t xml:space="preserve">Dialysis pairs (any J or G)</t>
  </si>
  <si>
    <t xml:space="preserve">Rotary-wing hospital-to-hospital</t>
  </si>
  <si>
    <t xml:space="preserve">Per beneficiary, the whole-book decline halves: minus 25.6% raw is minus 11.9% per 1,000 enrollees. The HH decline shrinks to about a third of its raw size (minus 8.0% per 1,000 against minus 22.3% raw). The dialysis collapse survives normalization (minus 56.5% per 1,000): it is real and it is policy. Rotary HH GROWS per beneficiary. The lesson: raw PSPS trends without an enrollment denominator overstate demand decline by roughly a factor of two.</t>
  </si>
  <si>
    <t xml:space="preserve">Panel C. The fifteen-year air series, normalized. Rotary HH per 1,000 A and B FFS beneficiaries, 2013 to 2024 (enrollment series begins 2013).</t>
  </si>
  <si>
    <t xml:space="preserve">Rotary HH transports</t>
  </si>
  <si>
    <t xml:space="preserve">Per 1,000 A and B FFS beneficiaries</t>
  </si>
  <si>
    <t xml:space="preserve">Growth per 1,000, 2013 to 2024</t>
  </si>
  <si>
    <t xml:space="preserve">DERIVED. The air interfacility channel grows per beneficiary across the entire series: demand for high-acuity transfer capacity is rising even inside a shrinking FFS window.</t>
  </si>
  <si>
    <t xml:space="preserve">CAGR, total Medicare beneficiaries, 2013 to 2025</t>
  </si>
  <si>
    <t xml:space="preserve">CAGR, A and B FFS beneficiaries, 2013 to 2025</t>
  </si>
  <si>
    <t xml:space="preserve">CAGR, A and B FFS, 2019 to 2024</t>
  </si>
  <si>
    <t xml:space="preserve">CAGR, MA and other, 2013 to 2025</t>
  </si>
  <si>
    <t xml:space="preserve">The denominator arithmetic behind every book-level trend in this workbook: total beneficiaries grow, the measurable FFS window shrinks, MA compounds.</t>
  </si>
  <si>
    <t xml:space="preserve">Each channel has its own clinical character, and the two directions of one interface are opposites.</t>
  </si>
  <si>
    <t xml:space="preserve">The question: is interfacility transport one clinical product or several? The HCPCS mix inside each origin-destination channel answers it: the two directions of the nursing-facility interface turn out to be clinical opposites, and hospital-to-hospital is two-thirds non-emergency. Staffing, unit economics, and payer strategy all follow from this cut.</t>
  </si>
  <si>
    <t xml:space="preserve">Panel A. 2024 service counts by channel and base code (blue), with share formulas.</t>
  </si>
  <si>
    <t xml:space="preserve">Channel</t>
  </si>
  <si>
    <t xml:space="preserve">SCT</t>
  </si>
  <si>
    <t xml:space="preserve">ALS Level 2</t>
  </si>
  <si>
    <t xml:space="preserve">ALS emergency</t>
  </si>
  <si>
    <t xml:space="preserve">ALS non-emergency</t>
  </si>
  <si>
    <t xml:space="preserve">Total</t>
  </si>
  <si>
    <t xml:space="preserve">Emergency share (ALS-E + BLS-E + ALS2)</t>
  </si>
  <si>
    <t xml:space="preserve">Non-emergency share (ALS-NE + BLS-NE)</t>
  </si>
  <si>
    <t xml:space="preserve">SCT share</t>
  </si>
  <si>
    <t xml:space="preserve">Dialysis pairs</t>
  </si>
  <si>
    <t xml:space="preserve">Any pair touching J or G</t>
  </si>
  <si>
    <t xml:space="preserve">ALL</t>
  </si>
  <si>
    <t xml:space="preserve">All O-D coded pairs</t>
  </si>
  <si>
    <t xml:space="preserve">The SNF interface is directional and the directions are opposites: SNF-to-hospital is 94% emergency (the 911-equivalent leg out) while hospital-to-SNF is 99% non-emergency BLS (discharge logistics). Hospital-to-hospital sits between: 62% non-emergency, which is the scheduled-transfer character of the H2H book, with SCT at 6.6% and ALS2 under 1%. Dialysis is 96% BLS non-emergency, exactly the RSNAT target profile. Community 911 work (RH, SH) is 97% emergency-coded. One word, interfacility, covers at least three distinct clinical products.</t>
  </si>
  <si>
    <t xml:space="preserve">Panel B. Emergency share, 2019 against 2024. Did the mix shift?</t>
  </si>
  <si>
    <t xml:space="preserve">Emergency share 2019</t>
  </si>
  <si>
    <t xml:space="preserve">Emergency share 2024</t>
  </si>
  <si>
    <t xml:space="preserve">Change, points</t>
  </si>
  <si>
    <t xml:space="preserve">The HH emergency share rose 2.4 points (28.6% to 31.0%) between 2019 and 2024: as prior authorization and payer pressure stripped scheduled volume out of FFS, the remaining H2H book skewed modestly more acute. The dialysis channel barely moved (it was always BLS non-emergency); the RSNAT model removed trips, not acuity.</t>
  </si>
  <si>
    <t xml:space="preserve">Air ambulance is the high-acuity interfacility book. Fifteen years, rebuilt from raw claims.</t>
  </si>
  <si>
    <t xml:space="preserve">The question: where does high-acuity interfacility volume actually live? In the air: two-thirds of Medicare rotary-wing transports are hospital-to-hospital, and the series grows per beneficiary while ground shrinks. This tab carries fifteen years of rotary and fixed-wing claims plus the published commercial air benchmarks.</t>
  </si>
  <si>
    <t xml:space="preserve">Panel A. Rotary-wing (helicopter, A0431), 2010 to 2024. The HH column is the Medicare air interfacility series. It exists in no published table.</t>
  </si>
  <si>
    <t xml:space="preserve">Total rotary transports</t>
  </si>
  <si>
    <t xml:space="preserve">HH share</t>
  </si>
  <si>
    <t xml:space="preserve">Rotary base allowed $</t>
  </si>
  <si>
    <t xml:space="preserve">HH base allowed $</t>
  </si>
  <si>
    <t xml:space="preserve">Base allowed per transport</t>
  </si>
  <si>
    <t xml:space="preserve">Rotary mileage allowed $</t>
  </si>
  <si>
    <t xml:space="preserve">Loaded miles (A0436 units)</t>
  </si>
  <si>
    <t xml:space="preserve">Rotary HH transport growth, 2010 to 2024</t>
  </si>
  <si>
    <t xml:space="preserve">DERIVED. +25% while the ground HH book shrank 7% over the same window (Medicare_IFT_Series).</t>
  </si>
  <si>
    <t xml:space="preserve">Rotary HH share, 2024</t>
  </si>
  <si>
    <t xml:space="preserve">DERIVED. 65.6%. Compare 6.6% SCT share on the ground HH book: acuity lives in the air.</t>
  </si>
  <si>
    <t xml:space="preserve">Rotary base allowed per transport, 2024</t>
  </si>
  <si>
    <t xml:space="preserve">DERIVED. Against a published CY2024 rotary conversion factor of $4,298.52 (Payment_Rules); the gap is denied lines carrying zero allowed.</t>
  </si>
  <si>
    <t xml:space="preserve">Panel B. 2024 rotary origin-destination mix, and why fixed-wing cannot be mapped.</t>
  </si>
  <si>
    <t xml:space="preserve">Rotary 2024 transports</t>
  </si>
  <si>
    <t xml:space="preserve">Share</t>
  </si>
  <si>
    <t xml:space="preserve">Fixed-wing 2024 transports</t>
  </si>
  <si>
    <t xml:space="preserve">Fixed share</t>
  </si>
  <si>
    <t xml:space="preserve">IH</t>
  </si>
  <si>
    <t xml:space="preserve">Transfer point (landing zone) to hospital</t>
  </si>
  <si>
    <t xml:space="preserve">HI</t>
  </si>
  <si>
    <t xml:space="preserve">Hospital to transfer point</t>
  </si>
  <si>
    <t xml:space="preserve">II</t>
  </si>
  <si>
    <t xml:space="preserve">Transfer point to transfer point (airport to airport)</t>
  </si>
  <si>
    <t xml:space="preserve">Rotary is coded at the facility: HH 65.6%, IH 24.3%, scene work only 4.2%. Fixed-wing is coded at the airport: II is 94.6% of fixed-wing transports, so fixed-wing O-D modifiers identify runways, not facilities, and cannot resolve interfacility share. Logged as Data_Quality_Register #29.</t>
  </si>
  <si>
    <t xml:space="preserve">Panel C. Commercial air pricing against Medicare, same source and same year. FAIR Health private claims (Source S44).</t>
  </si>
  <si>
    <t xml:space="preserve">Change</t>
  </si>
  <si>
    <t xml:space="preserve">Rotary-wing average allowed (in-network), base</t>
  </si>
  <si>
    <t xml:space="preserve">GOV-independent, FAIR Health white paper, Sep 2021</t>
  </si>
  <si>
    <t xml:space="preserve">Rotary-wing average charge, base</t>
  </si>
  <si>
    <t xml:space="preserve">Rotary-wing average Medicare reimbursement, base</t>
  </si>
  <si>
    <t xml:space="preserve">Fixed-wing average allowed (in-network), base</t>
  </si>
  <si>
    <t xml:space="preserve">Fixed-wing average charge, base</t>
  </si>
  <si>
    <t xml:space="preserve">Fixed-wing average Medicare reimbursement, base</t>
  </si>
  <si>
    <t xml:space="preserve">Rotary commercial allowed over Medicare, 2020</t>
  </si>
  <si>
    <t xml:space="preserve">DERIVED, same source, same year: 5.0x. Air is inside the No Surprises Act (Payment_Rules), so this is a pre-NSA benchmark; post-2022 realized multiples require newer licensed data.</t>
  </si>
  <si>
    <t xml:space="preserve">Scope. Carrier claims only; air transports billed institutionally are absent. FAIR Health covers privately insured claim lines and excludes Medicare FFS from these figures; 65 and older account for 63.6% of rotary claim lines in its panel, so the commercial rotary book skews Medicare Advantage.</t>
  </si>
  <si>
    <t xml:space="preserve">CAGR, rotary-wing HH transports, 2010 to 2024</t>
  </si>
  <si>
    <t xml:space="preserve">Peak year</t>
  </si>
  <si>
    <t xml:space="preserve">2024 as a share of peak</t>
  </si>
  <si>
    <t xml:space="preserve">The only major channel whose book-level series grew across the window; the per-beneficiary version grows faster (Utilization_Normalized).</t>
  </si>
  <si>
    <t xml:space="preserve">The question: what happens to a scheduled-transport book when a payer decides the volume is discretionary? The dialysis channel is the natural experiment, with a date: prior authorization rolled out nationally across 2021 and 2022 and the claims collapse lands exactly on it. The evaluation evidence, the policy record, and the honest caveats are all here.</t>
  </si>
  <si>
    <t xml:space="preserve">Panel A. The series. All dialysis-touching pairs, ground base codes plus mileage.</t>
  </si>
  <si>
    <t xml:space="preserve">Indexed to 2019 = 100 (DERIVED)</t>
  </si>
  <si>
    <t xml:space="preserve">Dialysis-pair transports</t>
  </si>
  <si>
    <t xml:space="preserve">Year-over-year</t>
  </si>
  <si>
    <t xml:space="preserve">Total allowed $ (base + mileage)</t>
  </si>
  <si>
    <t xml:space="preserve">All O-D coded transports</t>
  </si>
  <si>
    <t xml:space="preserve">Dialysis share of book</t>
  </si>
  <si>
    <t xml:space="preserve">Hospital-to-hospital</t>
  </si>
  <si>
    <t xml:space="preserve">Rotary-wing HH</t>
  </si>
  <si>
    <t xml:space="preserve">DERIVED. Minus 63.2%.</t>
  </si>
  <si>
    <t xml:space="preserve">All O-D coded decline, 2019 to 2024</t>
  </si>
  <si>
    <t xml:space="preserve">DERIVED. Minus 25.6%. The excess dialysis decline over the whole-book decline is the policy signature; COVID and Medicare Advantage hit both series.</t>
  </si>
  <si>
    <t xml:space="preserve">Largest single-year drop</t>
  </si>
  <si>
    <t xml:space="preserve">DERIVED. Minus 34.2%, in 2022, the national rollout year. The timing matches the intervention, not the pandemic (2020 fell only 3.6%).</t>
  </si>
  <si>
    <t xml:space="preserve">Panel B. 2024 pair detail. What is left of the channel.</t>
  </si>
  <si>
    <t xml:space="preserve">EJ</t>
  </si>
  <si>
    <t xml:space="preserve">Residential/domiciliary to freestanding ESRD</t>
  </si>
  <si>
    <t xml:space="preserve">JE</t>
  </si>
  <si>
    <t xml:space="preserve">Freestanding ESRD to residential/domiciliary</t>
  </si>
  <si>
    <t xml:space="preserve">RG</t>
  </si>
  <si>
    <t xml:space="preserve">Residence to hospital-based ESRD</t>
  </si>
  <si>
    <t xml:space="preserve">Panel C. The policy record. Every figure pinned to its document.</t>
  </si>
  <si>
    <t xml:space="preserve">RSNAT definition</t>
  </si>
  <si>
    <t xml:space="preserve">Medically necessary ambulance transport 3 or more times in 10 days, or at least weekly for 3 weeks or longer. Common destinations: dialysis, wound care, chemotherapy.</t>
  </si>
  <si>
    <t xml:space="preserve">Contreary et al., JAMA Health Forum 2022, S42</t>
  </si>
  <si>
    <t xml:space="preserve">Model timeline</t>
  </si>
  <si>
    <t xml:space="preserve">December 2014: NJ, PA, SC. January 2016: DE, MD, NC, VA, WV, DC added. National expansion: 1 Dec 2021 (AR, CO, LA, MS, NM, OK, TX); 1 Feb 2022 (AL, CA, GA, HI, NV, TN + territories); remaining states from April 2022.</t>
  </si>
  <si>
    <t xml:space="preserve">CMS RSNAT model page, S41</t>
  </si>
  <si>
    <t xml:space="preserve">Evaluated effect on RSNAT use</t>
  </si>
  <si>
    <t xml:space="preserve">Minus 61% probability of RSNAT use per beneficiary-year (minus 4.1 points); minus 77% RSNAT expenditures (minus $1,136 per beneficiary-year); minus 2.4% total cost of care (minus $1,530).</t>
  </si>
  <si>
    <t xml:space="preserve">Contreary et al., JAMA Health Forum 2022;3(7):e222093, doi:10.1001/jamahealthforum.2022.2093, S42</t>
  </si>
  <si>
    <t xml:space="preserve">CMS summary at expansion</t>
  </si>
  <si>
    <t xml:space="preserve">Model reduced RSNAT service use 63% and RSNAT expenditures 72% among ESRD and pressure-ulcer beneficiaries over the first four years, saving about $650 million, with quality and access preserved.</t>
  </si>
  <si>
    <t xml:space="preserve">CMS press release, 22 Sep 2020, S41</t>
  </si>
  <si>
    <t xml:space="preserve">Quality trade recorded</t>
  </si>
  <si>
    <t xml:space="preserve">Scheduled dialysis use fell 0.74 points and emergency dialysis use rose 1.44 points (a 19% relative increase) among ESRD beneficiaries. Small, statistically significant, and the honest caveat on the savings.</t>
  </si>
  <si>
    <t xml:space="preserve">Contreary et al., S42</t>
  </si>
  <si>
    <t xml:space="preserve">Payment rule stacked on top</t>
  </si>
  <si>
    <t xml:space="preserve">A 23% payment reduction applies to non-emergency BLS transports to and from renal dialysis (Payment_Rules; modifiers RJ, JR, NJ, JN carry it).</t>
  </si>
  <si>
    <t xml:space="preserve">MedPAC Payment Basics, Oct 2024, S28</t>
  </si>
  <si>
    <t xml:space="preserve">Interpretation guardrail: Never read the dialysis collapse as transport demand falling, and do not let it contaminate the hospital-to-hospital trend: HH transports GREW 2022 to 2024 while dialysis pairs kept falling. It also warns what a prior-authorization regime does to a scheduled-transport book when payers decide the volume is discretionary: the mechanism that killed this channel is available to Medicare Advantage plans on other non-emergency segments.</t>
  </si>
  <si>
    <t xml:space="preserve">CAGR, dialysis-pair transports, 2019 to 2024</t>
  </si>
  <si>
    <t xml:space="preserve">Single-year change in the national rollout year (2021 to 2022)</t>
  </si>
  <si>
    <t xml:space="preserve">2024 volume as a share of 2019</t>
  </si>
  <si>
    <t xml:space="preserve">The steepest decline in the workbook, and the only one with a statutory cause and date attached (Finding 26).</t>
  </si>
  <si>
    <t xml:space="preserve">Medicare ambulance payment rules and rate mechanics</t>
  </si>
  <si>
    <t xml:space="preserve">The question: what governs the Medicare price, and when does it change? The fee schedule mechanics, the frozen relative values, the inflation-factor history, the coverage regulation, and the statutory add-on payments with their current expiration date. The price here is legislative, not market.</t>
  </si>
  <si>
    <t xml:space="preserve">Relative value units by HCPCS. Verified: CMS Ambulance Fee Schedule public use file, reproduced in MedPAC Payment Basics (Ambulance Services Payment System), October 2024, Table 1.</t>
  </si>
  <si>
    <t xml:space="preserve">Level of service</t>
  </si>
  <si>
    <t xml:space="preserve">Multiple of BLS</t>
  </si>
  <si>
    <t xml:space="preserve">A0432</t>
  </si>
  <si>
    <t xml:space="preserve">Paramedic ALS intercept</t>
  </si>
  <si>
    <t xml:space="preserve">ALS2 (ALS emergency, Level 2)</t>
  </si>
  <si>
    <t xml:space="preserve">Specialty care transport (SCT)</t>
  </si>
  <si>
    <t xml:space="preserve">Ambulance Inflation Factor. Verified: CMS Pub. 100-04, Medicare Claims Processing Manual, Chapter 15, Section 20.4 (Transmittal 13464, 14 Nov 2025).</t>
  </si>
  <si>
    <t xml:space="preserve">Calendar year</t>
  </si>
  <si>
    <t xml:space="preserve">AIF %</t>
  </si>
  <si>
    <t xml:space="preserve">Post-COVID CPI peak. The largest AIF since the fee schedule began in 2002.</t>
  </si>
  <si>
    <t xml:space="preserve">CORRECTED. The source market study carried 3.0%. The CMS manual and MedPAC both print 2.6%.</t>
  </si>
  <si>
    <t xml:space="preserve">CPI-U 2.7% less a total factor productivity adjustment of 0.7%.</t>
  </si>
  <si>
    <t xml:space="preserve">Latest AIF (CY2026)</t>
  </si>
  <si>
    <t xml:space="preserve">Trailing 3-year average</t>
  </si>
  <si>
    <t xml:space="preserve">Full-window average (2020 to 2026)</t>
  </si>
  <si>
    <t xml:space="preserve">Sample standard deviation</t>
  </si>
  <si>
    <t xml:space="preserve">The AIF is CPI-U for the 12 months ending June of the prior year, less the 10-year moving average of economy-wide total factor productivity. It is structurally below CPI and therefore below paramedic wage inflation.</t>
  </si>
  <si>
    <t xml:space="preserve">Conversion factor and mileage. Verified: MedPAC Payment Basics (Ambulance), October 2024, Table 1 and text, sourced to the 2024 CMS AFS public use file.</t>
  </si>
  <si>
    <t xml:space="preserve">CY2024 value</t>
  </si>
  <si>
    <t xml:space="preserve">Ground ambulance conversion factor</t>
  </si>
  <si>
    <t xml:space="preserve">Multiplies the RVU to produce the unadjusted base payment. The source market study assumed $278.00 and labeled it ILLUSTRATIVE. The real value is now here.</t>
  </si>
  <si>
    <t xml:space="preserve">Ground mileage rate, per statute mile</t>
  </si>
  <si>
    <t xml:space="preserve">Paid separately from the base rate. Loaded miles only, point of pickup to nearest appropriate facility.</t>
  </si>
  <si>
    <t xml:space="preserve">Fixed-wing air conversion factor</t>
  </si>
  <si>
    <t xml:space="preserve">Air RVU is 1.00 for both air levels. Air is outside the ground IFT boundary.</t>
  </si>
  <si>
    <t xml:space="preserve">Rotary-wing air conversion factor</t>
  </si>
  <si>
    <t xml:space="preserve">Same.</t>
  </si>
  <si>
    <t xml:space="preserve">Geographic adjustment: share of ground base payment adjusted by the practice-expense GPCI</t>
  </si>
  <si>
    <t xml:space="preserve">CAUTION. This 70% is the labor-related PORTION OF THE PAYMENT for geographic adjustment. It is not a cost-structure share and must not be quoted as 'labor is 70% of cost'.</t>
  </si>
  <si>
    <t xml:space="preserve">Statutory and regulatory anchors</t>
  </si>
  <si>
    <t xml:space="preserve">Provision</t>
  </si>
  <si>
    <t xml:space="preserve">Ground add-ons</t>
  </si>
  <si>
    <t xml:space="preserve">Temporary statutory add-ons on the base payment: +2% urban, +3% rural, +22.6% super-rural. MedPAC's October 2024 fact sheet records them as available through 31 December 2024. They have been extended repeatedly, most recently by Section 6203 of the Consolidated Appropriations Act, 2026. Treat as a level effect with recurring cliff risk, not an annual growth rate.</t>
  </si>
  <si>
    <t xml:space="preserve">Rural short-mileage add-on</t>
  </si>
  <si>
    <t xml:space="preserve">The standard mileage rate increases 50% for the first 17 miles of a ground transport with a rural point of pickup.</t>
  </si>
  <si>
    <t xml:space="preserve">ESRD dialysis reduction</t>
  </si>
  <si>
    <t xml:space="preserve">A 23% reduction applies to payment for non-emergency BLS transports of an ESRD beneficiary for renal dialysis services.</t>
  </si>
  <si>
    <t xml:space="preserve">Part A bundling</t>
  </si>
  <si>
    <t xml:space="preserve">Ambulance transports occurring during a Medicare Part A stay in an inpatient hospital or SNF are generally included in the Part A payment and do NOT generate a separate Part B claim. Named exceptions: SNF to hospital for emergency or intensive outpatient services and back, SNF to dialysis facility and back, transports between two separate Part A stays, and transports preceding a Part A stay.</t>
  </si>
  <si>
    <t xml:space="preserve">No Surprises Act</t>
  </si>
  <si>
    <t xml:space="preserve">Ground ambulance is EXCLUDED from federal out-of-network balance-billing protection. Air ambulance is covered.</t>
  </si>
  <si>
    <t xml:space="preserve">Consolidated Appropriations Act, 2021</t>
  </si>
  <si>
    <t xml:space="preserve">Medical necessity</t>
  </si>
  <si>
    <t xml:space="preserve">Covered only when medically necessary and other means of transport would endanger the beneficiary, at the correct level of service.</t>
  </si>
  <si>
    <t xml:space="preserve">42 CFR 410.40</t>
  </si>
  <si>
    <t xml:space="preserve">Physician Certification Statement</t>
  </si>
  <si>
    <t xml:space="preserve">A signed PCS is required for scheduled non-emergency ambulance transport. A missing or invalid PCS is an automatic denial.</t>
  </si>
  <si>
    <t xml:space="preserve">42 CFR 410.40(e)</t>
  </si>
  <si>
    <t xml:space="preserve">RSNAT prior authorization</t>
  </si>
  <si>
    <t xml:space="preserve">Prior authorization applies nationwide since 2021 to repetitive, scheduled, non-emergent BLS transport such as recurring dialysis or wound care.</t>
  </si>
  <si>
    <t xml:space="preserve">CMS RSNAT model</t>
  </si>
  <si>
    <t xml:space="preserve">EMTALA appropriate transfer</t>
  </si>
  <si>
    <t xml:space="preserve">ED-origin transfers require prior stabilization, an accepting facility, qualified personnel and equipment, records sent, and physician certification that benefits outweigh risks.</t>
  </si>
  <si>
    <t xml:space="preserve">42 U.S.C. 1395dd</t>
  </si>
  <si>
    <t xml:space="preserve">Beneficiary cost sharing</t>
  </si>
  <si>
    <t xml:space="preserve">Part B covers 80% of the approved amount after the Part B deductible ($240 in 2024). The beneficiary owes the remaining 20%.</t>
  </si>
  <si>
    <t xml:space="preserve">$3.9 billion in 2022, excluding beneficiary cost sharing, about 1% of total Medicare FFS spending. About 13% of Medicare FFS beneficiaries used an ambulance in 2022. CORRECTED: the source market study carried $4.0B for 2023.</t>
  </si>
  <si>
    <t xml:space="preserve">Medicaid NEMT</t>
  </si>
  <si>
    <t xml:space="preserve">A separate federally mandated benefit, typically administered by state brokers or managed-care plans. Distinct from the ambulance fee schedule.</t>
  </si>
  <si>
    <t xml:space="preserve">42 CFR 431.53 and 440.170</t>
  </si>
  <si>
    <t xml:space="preserve">The Part A bundling rule is the statutory explanation for two things this workbook measures. It is why an out-and-back transport during one inpatient stay generates ambulance transports but no HCUP transfer record, and it is a structural reason claims-based sizing undercounts interfacility volume.</t>
  </si>
  <si>
    <t xml:space="preserve">Add-on payment status, verified 10 July 2026. Source S61.</t>
  </si>
  <si>
    <t xml:space="preserve">The add-ons</t>
  </si>
  <si>
    <t xml:space="preserve">2% urban, 3% rural, 22.6% super-rural increases to base and mileage rates, by ZIP code of the point of pickup, under section 1834(l)(13)(A) of the Social Security Act. In place since 2008 in current form; RVUs unchanged since 2002; geographic adjustments unchanged since 2008.</t>
  </si>
  <si>
    <t xml:space="preserve">The 2025 lapse</t>
  </si>
  <si>
    <t xml:space="preserve">The add-ons expired 1 October 2025 when appropriations lapsed, were revived by the Continuing Appropriations and Extensions Act, 2026 through 31 January 2026, and lapsed again for three days, absorbed by the standard 10-day Medicare claims hold.</t>
  </si>
  <si>
    <t xml:space="preserve">Current law</t>
  </si>
  <si>
    <t xml:space="preserve">Section 6203 of the Consolidated Appropriations Act, 2026 (signed 3 February 2026) extends the add-ons through 31 DECEMBER 2027. Without further legislation they expire 1 January 2028. CMS aligned 42 CFR 414.610(c) with the extension in the CY2026 rulemaking.</t>
  </si>
  <si>
    <t xml:space="preserve">What it means</t>
  </si>
  <si>
    <t xml:space="preserve">Any revenue model on a Medicare-heavy ground book carries a dated statutory cliff inside a normal hold period: a super-rural transport loses 22.6% of its base and mileage payment on 1 January 2028 absent action. The add-ons have been extended repeatedly since 2008 but through lapses, not ahead of them.</t>
  </si>
  <si>
    <t xml:space="preserve">Ambulance Inflation Factor by calendar year (S29)</t>
  </si>
  <si>
    <t xml:space="preserve">AIF</t>
  </si>
  <si>
    <t xml:space="preserve">Compounded-equivalent AIF per year, CY2020 to CY2024</t>
  </si>
  <si>
    <t xml:space="preserve">Highest single-year update in the window</t>
  </si>
  <si>
    <t xml:space="preserve">Lowest single-year update in the window</t>
  </si>
  <si>
    <t xml:space="preserve">A 43x spread between the strongest and weakest annual update inside five years: the price is stable in level and volatile in change, which is a planning problem for any labor-heavy operator.</t>
  </si>
  <si>
    <t xml:space="preserve">What everyone other than Medicare fee-for-service pays. Published evidence only.</t>
  </si>
  <si>
    <t xml:space="preserve">The question: what does everyone other than Medicare fee-for-service pay? Published commercial benchmarks, state rate dispersion, the balance-billing regime and its proposed federal fix, and the Medicaid transportation benefit. Every ratio states its source, year, and basis in the same row; nothing is a modeled multiple.</t>
  </si>
  <si>
    <t xml:space="preserve">Panel A. Commercial ground ambulance, national averages, base rate only, no mileage. FAIR Health white paper, March 2022 (S43).</t>
  </si>
  <si>
    <t xml:space="preserve">ALS emergency, average allowed (in-network)</t>
  </si>
  <si>
    <t xml:space="preserve">Allowed = full negotiated fee including member share</t>
  </si>
  <si>
    <t xml:space="preserve">BLS emergency, average allowed (in-network)</t>
  </si>
  <si>
    <t xml:space="preserve">ALS emergency, average charge</t>
  </si>
  <si>
    <t xml:space="preserve">Charge = undiscounted, the out-of-network exposure</t>
  </si>
  <si>
    <t xml:space="preserve">BLS emergency, average charge</t>
  </si>
  <si>
    <t xml:space="preserve">Average Medicare amount for the same services</t>
  </si>
  <si>
    <t xml:space="preserve">FAIR Health reports Medicare grew 4.8% over the same 2017 to 2020 window while commercial allowed grew 40% to 56%. The commercial wedge is widening, not static.</t>
  </si>
  <si>
    <t xml:space="preserve">ALS share of emergency ground claim lines: 51.5% in 2020; 51.3% to 52.3% across 2018 to 2022 (S43, S45). The commercial book codes half its emergency volume as ALS.</t>
  </si>
  <si>
    <t xml:space="preserve">Panel B. State dispersion, 2022. FAIR Health brief presented to the GAPB committee (S45).</t>
  </si>
  <si>
    <t xml:space="preserve">High state</t>
  </si>
  <si>
    <t xml:space="preserve">Low state</t>
  </si>
  <si>
    <t xml:space="preserve">Spread</t>
  </si>
  <si>
    <t xml:space="preserve">ALS emergency average allowed, 2022</t>
  </si>
  <si>
    <t xml:space="preserve">California</t>
  </si>
  <si>
    <t xml:space="preserve">Illinois</t>
  </si>
  <si>
    <t xml:space="preserve">Ground mileage average allowed per statute mile, 2022</t>
  </si>
  <si>
    <t xml:space="preserve">Utah</t>
  </si>
  <si>
    <t xml:space="preserve">Florida</t>
  </si>
  <si>
    <t xml:space="preserve">Other mileage extremes: ND $19.36, NV $18.76 high; ME $7.55, NC $7.66, VT $7.71, MD $8.21 low. The Medicare CY2024 mileage rate of $8.76 (Payment_Rules) sits in the bottom third of the commercial state distribution.</t>
  </si>
  <si>
    <t xml:space="preserve">Panel C. Cross-payer comparison. State the year and the caveat or do not state the number.</t>
  </si>
  <si>
    <t xml:space="preserve">Comparison</t>
  </si>
  <si>
    <t xml:space="preserve">Status</t>
  </si>
  <si>
    <t xml:space="preserve">Rotary-wing air: commercial allowed over Medicare, 2020, same source</t>
  </si>
  <si>
    <t xml:space="preserve">DERIVED from S44 (Air_Ambulance_IFT Panel C). Same source, same year: clean.</t>
  </si>
  <si>
    <t xml:space="preserve">Ground ALS emergency: FAIR 2020 commercial allowed over Medicare 2024 claims-derived ALS1-E allowed per transport</t>
  </si>
  <si>
    <t xml:space="preserve">CROSS-YEAR AND CROSS-BASIS. Numerator is commercial in-network 2020; denominator is Medicare submitted-services allowed 2024 (Medicare_PSPS Panel D), diluted by denied lines. Bounding evidence only; not a rate-card multiple.</t>
  </si>
  <si>
    <t xml:space="preserve">The originally excluded 2x to 4x commercial-multiple assumption (Excluded_Not_Sourced #20) now has published bounds: about 1.6x on ground allowed (with the caveats above) and 5.0x on rotary air, pre-NSA. Negotiated rate files under the Transparency in Coverage rule are the path to a real multiple.</t>
  </si>
  <si>
    <t xml:space="preserve">Panel D. The balance-billing regime. Ground is the carve-out; interfacility is named.</t>
  </si>
  <si>
    <t xml:space="preserve">Federal status</t>
  </si>
  <si>
    <t xml:space="preserve">Ground ambulance is excluded from the No Surprises Act; air ambulance is covered (Payment_Rules, S17).</t>
  </si>
  <si>
    <t xml:space="preserve">GAPB committee report</t>
  </si>
  <si>
    <t xml:space="preserve">Report to the Secretaries on preventing out-of-network ground ambulance balance billing, dated 29 March 2024, transmitted 28 August 2024. Fourteen recommendations (S46).</t>
  </si>
  <si>
    <t xml:space="preserve">Core recommendations</t>
  </si>
  <si>
    <t xml:space="preserve">Ban balance billing for out-of-network ground ambulance including emergency and interfacility transports; cap patient cost sharing at the LESSER OF $100 OR 10% of the allowed amount; look first to state or locally set rates as the payment standard; no independent dispute resolution process (S46, S47).</t>
  </si>
  <si>
    <t xml:space="preserve">State action</t>
  </si>
  <si>
    <t xml:space="preserve">Fourteen states had enacted their own ground ambulance balance-billing protections as of early 2024; most set a payment standard rather than arbitration; several tie default rates to a Medicare multiple (S47).</t>
  </si>
  <si>
    <t xml:space="preserve">Exposure estimate</t>
  </si>
  <si>
    <t xml:space="preserve">An estimated 28% of privately insured ground ambulance rides could result in a surprise bill, as cited by the Commonwealth Fund in its GAPB analysis (S47). Estimate, not a census.</t>
  </si>
  <si>
    <t xml:space="preserve">Status July 2026</t>
  </si>
  <si>
    <t xml:space="preserve">No federal implementing legislation enacted. The recommendations remain a roadmap; the state patchwork governs.</t>
  </si>
  <si>
    <t xml:space="preserve">Panel E. Medicaid. The transportation benefit is real money and it is mostly not ambulance.</t>
  </si>
  <si>
    <t xml:space="preserve">Medicaid NEMT, FY2018</t>
  </si>
  <si>
    <t xml:space="preserve">Fee-for-service NEMT spending of $2.6 billion across 61.5 million ride-days for 3.2 million beneficiaries, under 5% of enrollees. Modes: van 46.0%, taxi 36.7%, public transit 5.0% (S48).</t>
  </si>
  <si>
    <t xml:space="preserve">Scope warning</t>
  </si>
  <si>
    <t xml:space="preserve">MACPAC explicitly EXCLUDES ambulance from its T-MSIS NEMT definition. Medicaid ambulance spend sits in ordinary FFS and managed-care claims and is not in these figures. Never quote $2.6B as Medicaid ambulance (S48).</t>
  </si>
  <si>
    <t xml:space="preserve">The federal record</t>
  </si>
  <si>
    <t xml:space="preserve">HHS Expanded NEMT Report to Congress covers 2018 to 2021 with state-level ride-day rates and delivery models (S49). Managed-care carve-in encounters are the coverage gap in any T-MSIS NEMT count.</t>
  </si>
  <si>
    <t xml:space="preserve">Why it matters here</t>
  </si>
  <si>
    <t xml:space="preserve">The Medicaid dialysis and wheelchair-van book is the volume adjacency to the Medicare dialysis channel this workbook measures. Brokered NEMT is the operating model any transport platform meets in Medicaid markets.</t>
  </si>
  <si>
    <t xml:space="preserve">The supplier base: 8,700 billing organizations, no one above one percent.</t>
  </si>
  <si>
    <t xml:space="preserve">The question: who bills Medicare for ground transport, and how concentrated is the market? Every billing organization from the provider-level claims files: counts, concentration, the largest billers, and the caveats that govern all of it. Every count here is a floor because small cells are suppressed at source.</t>
  </si>
  <si>
    <t xml:space="preserve">Panel A. Market structure, ground base codes (A0426-A0429, A0433, A0434).</t>
  </si>
  <si>
    <t xml:space="preserve">Billing NPIs (ground base codes)</t>
  </si>
  <si>
    <t xml:space="preserve">Total approved services (final action)</t>
  </si>
  <si>
    <t xml:space="preserve">Median approved services per NPI</t>
  </si>
  <si>
    <t xml:space="preserve">Top 10 NPIs, share of services</t>
  </si>
  <si>
    <t xml:space="preserve">Top 50 NPIs, share of services</t>
  </si>
  <si>
    <t xml:space="preserve">Top 100 NPIs, share of services</t>
  </si>
  <si>
    <t xml:space="preserve">NPIs billing SCT (A0434)</t>
  </si>
  <si>
    <t xml:space="preserve">NPIs billing air base codes (A0430, A0431)</t>
  </si>
  <si>
    <t xml:space="preserve">This is one of the most fragmented supplier markets in Medicare: the LARGEST single billing NPI carries under 1% of national services, the top 100 carry a quarter, and the median organization bills 279 Medicare transports a year. Concentration is rising, but slowly (top-100 share up 2.6 points in five years). The BLS non-emergency biller count fell 12.7%, the supplier-side signature of the RSNAT-driven dialysis exit. Air billers GREW while every ground count shrank.</t>
  </si>
  <si>
    <t xml:space="preserve">Panel B. The twelve largest billing NPIs, 2024, with their 2019 volume where present.</t>
  </si>
  <si>
    <t xml:space="preserve">Organization (as enrolled)</t>
  </si>
  <si>
    <t xml:space="preserve">Approved services 2024</t>
  </si>
  <si>
    <t xml:space="preserve">Approved services 2019</t>
  </si>
  <si>
    <t xml:space="preserve">Acadian Ambulance Service, Inc.</t>
  </si>
  <si>
    <t xml:space="preserve">LA</t>
  </si>
  <si>
    <t xml:space="preserve">Brewster Ambulance Service Inc.</t>
  </si>
  <si>
    <t xml:space="preserve">MA</t>
  </si>
  <si>
    <t xml:space="preserve">Midwest Medical Transport Company Llc</t>
  </si>
  <si>
    <t xml:space="preserve">Seniorcare Emergency Medical Services </t>
  </si>
  <si>
    <t xml:space="preserve">NY</t>
  </si>
  <si>
    <t xml:space="preserve">Superior Air-Ground Ambulance Service,</t>
  </si>
  <si>
    <t xml:space="preserve">IL</t>
  </si>
  <si>
    <t xml:space="preserve">County Of Pinellas Board Of County Com</t>
  </si>
  <si>
    <t xml:space="preserve">FL</t>
  </si>
  <si>
    <t xml:space="preserve">Acadian Ambulance Service Of Texas Llc</t>
  </si>
  <si>
    <t xml:space="preserve">TX</t>
  </si>
  <si>
    <t xml:space="preserve">New York City Health And Hospitals Cor</t>
  </si>
  <si>
    <t xml:space="preserve">Falck Mobile Health Corp</t>
  </si>
  <si>
    <t xml:space="preserve">CA</t>
  </si>
  <si>
    <t xml:space="preserve">City Of Los Angeles</t>
  </si>
  <si>
    <t xml:space="preserve">Richmond County Ambulance Service, Inc</t>
  </si>
  <si>
    <t xml:space="preserve">Elite Medical Transportation Llc</t>
  </si>
  <si>
    <t xml:space="preserve">Caveat that governs this whole tab. An NPI is not a parent company. Global Medical Response, Falck and other consolidators bill through many subsidiary NPIs with distinct enrolled names (Acadian appears twice above under two entities). Top-N NPI shares are therefore FLOORS on corporate concentration. Building the corporate roll-up requires the PECOS ownership graph (the NPI toolkit already implements reassignment mapping). Logged as Data_Quality_Register #33.</t>
  </si>
  <si>
    <t xml:space="preserve">Panel C. Cross-check against PSPS, 2024.</t>
  </si>
  <si>
    <t xml:space="preserve">MUP approved services, six ground base codes: 9,542,103. PSPS submitted services, same codes with valid O-D pairs: 10,637,766. The 1.10x gap is definitional: MUP counts final-action approved services and suppresses small NPI cells; PSPS counts submitted services including denied lines. The two bases must never be mixed in one series. Logged as Data_Quality_Register #34.</t>
  </si>
  <si>
    <t xml:space="preserve">RAW. Medicare ground ambulance supplier series, 2014 to 2024.</t>
  </si>
  <si>
    <t xml:space="preserve">Raw data only, no formulas. One row per year, 2014 through 2024: billing organizations, approved services, concentration shares, and the scheduled-transport biller count, aggregated from every provider-level claim row. The analysis and reads live on Supplier_Trend.</t>
  </si>
  <si>
    <t xml:space="preserve">Data year</t>
  </si>
  <si>
    <t xml:space="preserve">Approved services</t>
  </si>
  <si>
    <t xml:space="preserve">Top-10 NPI share of services</t>
  </si>
  <si>
    <t xml:space="preserve">Top-100 NPI share</t>
  </si>
  <si>
    <t xml:space="preserve">Median services per NPI</t>
  </si>
  <si>
    <t xml:space="preserve">Pull spec. GET https://data.cms.gov/data-api/revision 1/dataset/{uuid}/data?filter[HCPCS_Cd]={code}, six codes A0426-A0429, A0433, A0434, paginated at 5,000 rows. Dataset UUIDs by year recorded on Verification_Log Panel H. Services summed as floats per NPI; top-N shares computed on the float totals before rounding.</t>
  </si>
  <si>
    <t xml:space="preserve">A decade of supplier attrition: fewer billers, smaller books, slow consolidation.</t>
  </si>
  <si>
    <t xml:space="preserve">The question: what did a decade do to the supplier base? Answered with formulas over the raw series: fewer billers, smaller Medicare books per survivor, concentration flat for eight years and then moving after 2021, and a scheduled-transport exit that fell every single year.</t>
  </si>
  <si>
    <t xml:space="preserve">Change 2014-2024</t>
  </si>
  <si>
    <t xml:space="preserve">Change 2019-2024</t>
  </si>
  <si>
    <t xml:space="preserve">CAGR 2014-2024</t>
  </si>
  <si>
    <t xml:space="preserve">Billing NPIs</t>
  </si>
  <si>
    <t xml:space="preserve">BLS non-emergency billers</t>
  </si>
  <si>
    <t xml:space="preserve">Top-10 share of services</t>
  </si>
  <si>
    <t xml:space="preserve">Top-100 share of services</t>
  </si>
  <si>
    <t xml:space="preserve">The supplier base shrank 6.3% over the decade (9,305 to 8,721 NPIs) while the FFS-visible book shrank 36.5% (15.0M to 9.5M approved services): the average survivor holds a SMALLER Medicare book, not a larger one, and the median fell from 344 to 279 services a year. Concentration barely moved for eight years (top-100 share 21.9% to 22.2%, 2014 to 2021) and then jumped 2.3 points in three years (24.1% by 2023, 24.6% by 2024): whatever consolidation exists is a post-2021 phenomenon, coincident with the RSNAT rollout and the rate-cycle squeeze. The BLS non-emergency biller count fell every single year, 3,329 to 2,683, minus 19.4%: a decade-long exit from the scheduled-transport channel that predates and then accelerates through prior authorization.</t>
  </si>
  <si>
    <t xml:space="preserve">Interpretation guardrail: Never describe this market as consolidating rapidly: eight of ten years show no movement. Never read the shrinking book per supplier as demand loss: the FFS window (Utilization_Normalized) drives most of it. NPI-level shares remain floors on corporate concentration (DQ #33).</t>
  </si>
  <si>
    <t xml:space="preserve">The paid EMS workforce: bigger, better paid, and still not the constraint you assume.</t>
  </si>
  <si>
    <t xml:space="preserve">The question: is the EMS workforce actually the constraint? The paid workforce from federal labor statistics, the wage series against the Medicare payment update (computed honestly, including the result that rejected the intuitive story), the pipeline projection, and the volunteer layer that no employment file counts.</t>
  </si>
  <si>
    <t xml:space="preserve">Panel A. National employment and wages.</t>
  </si>
  <si>
    <t xml:space="preserve">May 2019 (combined 29-2040)</t>
  </si>
  <si>
    <t xml:space="preserve">May 2024 EMTs (29-2042)</t>
  </si>
  <si>
    <t xml:space="preserve">May 2024 paramedics (29-2043)</t>
  </si>
  <si>
    <t xml:space="preserve">May 2024 combined</t>
  </si>
  <si>
    <t xml:space="preserve">Change 2019 to 2024</t>
  </si>
  <si>
    <t xml:space="preserve">Employment</t>
  </si>
  <si>
    <t xml:space="preserve">Median annual wage</t>
  </si>
  <si>
    <t xml:space="preserve">10th to 90th percentile, annual</t>
  </si>
  <si>
    <t xml:space="preserve">$23,490 to $59,860</t>
  </si>
  <si>
    <t xml:space="preserve">$31,410 to $60,780</t>
  </si>
  <si>
    <t xml:space="preserve">$40,130 to $82,420</t>
  </si>
  <si>
    <t xml:space="preserve">Mean annual wage</t>
  </si>
  <si>
    <t xml:space="preserve">Paid EMS employment GREW 8.6% (260,600 to 282,900) over the window in which suppliers shrank and per-capita FFS transports fell. The workforce constraint story is about composition and churn, not headcount: the wage change column compares the 2024 EMT median to the 2019 COMBINED median (the closest like-for-like, since EMTs dominate the combined figure), and the paramedic tier at $58,410 has no 2019 twin because the occupation was not split. Growth in paid heads partly reflects volunteer-to-paid conversion (Panel E), which is itself a cost shock to rural agencies.</t>
  </si>
  <si>
    <t xml:space="preserve">Panel B. The wage against the payer update. The scissors, computed honestly.</t>
  </si>
  <si>
    <t xml:space="preserve">EMT median wage growth, 2019 to 2024</t>
  </si>
  <si>
    <t xml:space="preserve">DERIVED from Panel A. +16.8% cumulative.</t>
  </si>
  <si>
    <t xml:space="preserve">Ambulance Inflation Factor, compounded CY2020 to CY2024</t>
  </si>
  <si>
    <t xml:space="preserve">AIF rates 0.9, 0.2, 5.1, 8.7, 2.6 per Payment_Rules (S29). +18.6% cumulative.</t>
  </si>
  <si>
    <t xml:space="preserve">Gap, payer update minus wage growth</t>
  </si>
  <si>
    <t xml:space="preserve">DERIVED. The five-year window is roughly a wash.</t>
  </si>
  <si>
    <t xml:space="preserve">Read, and a correction to the intuitive story. Over this specific window the AIF slightly OUTRAN the EMT median wage, because the 2023 update printed 8.7% off the CPI spike. The scissors that squeeze agencies live elsewhere: in 2020-2021 the AIF printed 0.9% and 0.2% while the labor market repriced; the paramedic tier ($58,410 and rising) is paid the same fee-schedule RVUs set in 2002 with no wage-tier differential; and the AIF is CPI-U minus productivity, so in any normal-inflation year it structurally lags a labor-heavy cost base whose GADCS labor share is the majority of cost (Cost_and_Capacity). State the window whenever this comparison is quoted.</t>
  </si>
  <si>
    <t xml:space="preserve">Panel C. Pipeline and projection (S68).</t>
  </si>
  <si>
    <t xml:space="preserve">BLS projects EMT and paramedic employment to grow 5% from 2024 to 2034, faster than average, with about 19,000 openings per year, most from replacement need rather than growth. Replacement-driven openings at that scale against 282,900 jobs imply annual churn in the mid single digits BEFORE quits into other occupations are counted; the industry turnover surveys that measure full churn (American Ambulance Association) are on the pending register (S70).</t>
  </si>
  <si>
    <t xml:space="preserve">Panel D. Geography, May 2019 (S67). The 2024 state files are on the pending register; the BLS bulk state files are pending retrieval (P4).</t>
  </si>
  <si>
    <t xml:space="preserve">Per 1,000 jobs</t>
  </si>
  <si>
    <t xml:space="preserve">Texas</t>
  </si>
  <si>
    <t xml:space="preserve">New York</t>
  </si>
  <si>
    <t xml:space="preserve">Pennsylvania</t>
  </si>
  <si>
    <t xml:space="preserve">West Virginia (highest concentration)</t>
  </si>
  <si>
    <t xml:space="preserve">Hawaii (highest wage)</t>
  </si>
  <si>
    <t xml:space="preserve">Washington</t>
  </si>
  <si>
    <t xml:space="preserve">Wage dispersion is a market screen: the Hawaii and Washington means run 1.6x West Virginia. Industry split 2019: 122,910 in Other Ambulatory Health Care Services (the ambulance industry itself) and 47,990 in general hospitals; a sixth of the paid workforce sits inside hospital walls and is invisible to supplier-side counts.</t>
  </si>
  <si>
    <t xml:space="preserve">Panel E. The volunteer layer that no employment file counts.</t>
  </si>
  <si>
    <t xml:space="preserve">OEWS and OOH figures EXCLUDE volunteers by design. The measured volunteer facts: 53% of EMS agencies serving isolated small rural areas are staffed by volunteers only, against 14% of urban agencies (Patterson et al., national survey of local EMS directors, as compiled in the National Rural Health Association policy paper, 2019, S69); in the most sparsely populated areas volunteers cover more than 90% of calls (same source); and rural volunteers explicitly carry interfacility and non-emergency transfers alongside 911 work (Rural Health Information Hub summary of the 2021 rural ambulance characteristics report). The canonical census, the NASEMSO 2020 National EMS Assessment, is pending retrieval and sits on the pending register (S70). Implication for a private target: volunteer supply is a rural phenomenon concentrated in 911 coverage; the paid, private-sector share of the interfacility book is structurally higher than the agency mix suggests, because volunteers cover areas, not scheduled transfer contracts.</t>
  </si>
  <si>
    <t xml:space="preserve">CAGR, paid EMS employment, 2019 to 2024</t>
  </si>
  <si>
    <t xml:space="preserve">CAGR, EMT median wage vs 2019 combined median</t>
  </si>
  <si>
    <t xml:space="preserve">AIF per year, compounded equivalent, CY2020 to CY2024</t>
  </si>
  <si>
    <t xml:space="preserve">The two per-year rates differ by about 0.3 points on this window; the mechanism panel above governs interpretation.</t>
  </si>
  <si>
    <t xml:space="preserve">Supply, as a stack of measured components.</t>
  </si>
  <si>
    <t xml:space="preserve">The question: what does the whole supply side look like on one page? Each row is one measured capacity component: workforce, billing organizations, geographic coverage, crew hours lost at the emergency-department door, receiving beds, air capacity, payment authority, and production cost. Latest value, direction, source.</t>
  </si>
  <si>
    <t xml:space="preserve">Paid EMS workforce</t>
  </si>
  <si>
    <t xml:space="preserve">282,900 EMTs and paramedics, 2024</t>
  </si>
  <si>
    <t xml:space="preserve">+8.6% since 2019; excludes volunteers</t>
  </si>
  <si>
    <t xml:space="preserve">Volunteer layer</t>
  </si>
  <si>
    <t xml:space="preserve">53% of isolated rural agencies all-volunteer vs 14% urban; &gt;90% of calls in sparsest areas</t>
  </si>
  <si>
    <t xml:space="preserve">Declining per every industry account; census on pending register</t>
  </si>
  <si>
    <t xml:space="preserve">S69, S70</t>
  </si>
  <si>
    <t xml:space="preserve">Workforce_Supply Panel E</t>
  </si>
  <si>
    <t xml:space="preserve">Billing organizations (Medicare ground)</t>
  </si>
  <si>
    <t xml:space="preserve">8,721 NPIs, 2024, a floor</t>
  </si>
  <si>
    <t xml:space="preserve">Minus 6.3% since 2014; BLS non-emergency billers minus 19.4%</t>
  </si>
  <si>
    <t xml:space="preserve">S59, S62</t>
  </si>
  <si>
    <t xml:space="preserve">Geographic coverage</t>
  </si>
  <si>
    <t xml:space="preserve">4.5M people beyond 25 minutes from a station; 82% of counties hold a desert; measured in 41 states so an UNDERCOUNT</t>
  </si>
  <si>
    <t xml:space="preserve">2021-22 level; no trend vintage exists yet</t>
  </si>
  <si>
    <t xml:space="preserve">State_Saturation note</t>
  </si>
  <si>
    <t xml:space="preserve">Crew hours at the ED door (California)</t>
  </si>
  <si>
    <t xml:space="preserve">13,365 cumulative hours of offload delay beyond 30 minutes in six months (Apr-Sep 2024); 19.1% of offloads exceed the standard</t>
  </si>
  <si>
    <t xml:space="preserve">Hospital-level series exists quarterly; CEMSIS participants only, a floor</t>
  </si>
  <si>
    <t xml:space="preserve">Imbalance_Ledger Panel D</t>
  </si>
  <si>
    <t xml:space="preserve">Receiving beds</t>
  </si>
  <si>
    <t xml:space="preserve">674,000 staffed beds post-PHE vs 802,000 pre-pandemic mean</t>
  </si>
  <si>
    <t xml:space="preserve">Minus 16% on mandated reporting; AHA surveys show minus 2% (definitional conflict, Fault_Audit)</t>
  </si>
  <si>
    <t xml:space="preserve">Demand_Stack (dual-listed)</t>
  </si>
  <si>
    <t xml:space="preserve">Air supply</t>
  </si>
  <si>
    <t xml:space="preserve">417 air billers 2024, growing; rotary HH transports +25% since 2010</t>
  </si>
  <si>
    <t xml:space="preserve">The one segment where supply grew with demand; sector distress events (operator Chapter 11, 2023) pending verification (P8)</t>
  </si>
  <si>
    <t xml:space="preserve">S40, S59</t>
  </si>
  <si>
    <t xml:space="preserve">Payment capacity</t>
  </si>
  <si>
    <t xml:space="preserve">Add-ons run through 31 Dec 2027; cliff 1 Jan 2028; RVUs unchanged since 2002</t>
  </si>
  <si>
    <t xml:space="preserve">Statutorily dated</t>
  </si>
  <si>
    <t xml:space="preserve">Cost per transport</t>
  </si>
  <si>
    <t xml:space="preserve">GADCS median $1,340, mean $2,673, labor-dominated; MedPAC bars margin inference</t>
  </si>
  <si>
    <t xml:space="preserve">Level only; the data cannot yet support a margin</t>
  </si>
  <si>
    <t xml:space="preserve">S30, S31</t>
  </si>
  <si>
    <t xml:space="preserve">RAW. State-level supply and enrollment inputs, 2024 (2019 enrollment for trend).</t>
  </si>
  <si>
    <t xml:space="preserve">Raw data only, no formulas. Per state: supplier services and organization counts, Medicare enrollment by coverage type for 2019 and 2024, and the official state-file service totals. The rates, screens, and reads live on State_Saturation.</t>
  </si>
  <si>
    <t xml:space="preserve">Approved ground services 2024 (provider state)</t>
  </si>
  <si>
    <t xml:space="preserve">Billing NPIs 2024</t>
  </si>
  <si>
    <t xml:space="preserve">Medicare beneficiaries 2024 (total)</t>
  </si>
  <si>
    <t xml:space="preserve">Original Medicare A and B 2024</t>
  </si>
  <si>
    <t xml:space="preserve">MA and other 2024</t>
  </si>
  <si>
    <t xml:space="preserve">A and B FFS 2019</t>
  </si>
  <si>
    <t xml:space="preserve">Official state services 2024 (Geography file)</t>
  </si>
  <si>
    <t xml:space="preserve">AK</t>
  </si>
  <si>
    <t xml:space="preserve">AL</t>
  </si>
  <si>
    <t xml:space="preserve">AR</t>
  </si>
  <si>
    <t xml:space="preserve">AZ</t>
  </si>
  <si>
    <t xml:space="preserve">CO</t>
  </si>
  <si>
    <t xml:space="preserve">CT</t>
  </si>
  <si>
    <t xml:space="preserve">DE</t>
  </si>
  <si>
    <t xml:space="preserve">GA</t>
  </si>
  <si>
    <t xml:space="preserve">GU</t>
  </si>
  <si>
    <t xml:space="preserve">IA</t>
  </si>
  <si>
    <t xml:space="preserve">IN</t>
  </si>
  <si>
    <t xml:space="preserve">KS</t>
  </si>
  <si>
    <t xml:space="preserve">KY</t>
  </si>
  <si>
    <t xml:space="preserve">MI</t>
  </si>
  <si>
    <t xml:space="preserve">MN</t>
  </si>
  <si>
    <t xml:space="preserve">MO</t>
  </si>
  <si>
    <t xml:space="preserve">MP</t>
  </si>
  <si>
    <t xml:space="preserve">MS</t>
  </si>
  <si>
    <t xml:space="preserve">NV</t>
  </si>
  <si>
    <t xml:space="preserve">OH</t>
  </si>
  <si>
    <t xml:space="preserve">OK</t>
  </si>
  <si>
    <t xml:space="preserve">OR</t>
  </si>
  <si>
    <t xml:space="preserve">PA</t>
  </si>
  <si>
    <t xml:space="preserve">RI</t>
  </si>
  <si>
    <t xml:space="preserve">SC</t>
  </si>
  <si>
    <t xml:space="preserve">TN</t>
  </si>
  <si>
    <t xml:space="preserve">VA</t>
  </si>
  <si>
    <t xml:space="preserve">VI</t>
  </si>
  <si>
    <t xml:space="preserve">VT</t>
  </si>
  <si>
    <t xml:space="preserve">WA</t>
  </si>
  <si>
    <t xml:space="preserve">WI</t>
  </si>
  <si>
    <t xml:space="preserve">WV</t>
  </si>
  <si>
    <t xml:space="preserve">Saturation by state: services per 1,000 FFS beneficiaries, suppliers per 100,000, and the payer window.</t>
  </si>
  <si>
    <t xml:space="preserve">The question: which states are underserved, oversupplied, or unmeasurable? Three screens computed per state: utilization per 1,000 fee-for-service beneficiaries, supplier density, and the Medicare Advantage share that determines how much of each state market public claims can even see. The official state file sits beside the supplier-based figures with the gap computed.</t>
  </si>
  <si>
    <t xml:space="preserve">Services per 1,000 A and B FFS</t>
  </si>
  <si>
    <t xml:space="preserve">Billing NPIs per 100,000 A and B FFS</t>
  </si>
  <si>
    <t xml:space="preserve">MA and other share of beneficiaries</t>
  </si>
  <si>
    <t xml:space="preserve">A and B FFS change 2019 to 2024</t>
  </si>
  <si>
    <t xml:space="preserve">Services per NPI (mean)</t>
  </si>
  <si>
    <t xml:space="preserve">Official services per 1,000 A and B FFS</t>
  </si>
  <si>
    <t xml:space="preserve">Provider-state basis gap vs official</t>
  </si>
  <si>
    <t xml:space="preserve">Ranked on the official state file (DERIVED, formulas)</t>
  </si>
  <si>
    <t xml:space="preserve">Largest dark markets (MA and other share, DERIVED)</t>
  </si>
  <si>
    <t xml:space="preserve">Highest services per 1,000</t>
  </si>
  <si>
    <t xml:space="preserve">Rate</t>
  </si>
  <si>
    <t xml:space="preserve">Lowest services per 1,000</t>
  </si>
  <si>
    <t xml:space="preserve">MA and other share</t>
  </si>
  <si>
    <t xml:space="preserve">Thinnest supply (billing NPIs per 100,000 FFS, DERIVED)</t>
  </si>
  <si>
    <t xml:space="preserve">NPIs per 100k</t>
  </si>
  <si>
    <t xml:space="preserve">Saturation is not one national number. Utilization per 1,000 FFS beneficiaries varies severalfold across states, supplier density varies more, and the MA window determines how much of each state market these public claims can even see. States with high MA share carry the largest unmeasured books. Use this tab to rank state opportunity three ways at once: high services per 1,000 (utilization culture), low NPIs per 100,000 (thin supply), and high MA share (large dark market). The three columns are the state screen for any medical transport target.</t>
  </si>
  <si>
    <t xml:space="preserve">Not on this tab yet, on the pending register: state ambulance-desert population (S65 state table), state 65+ population, state EMT and paramedic wages (S67 full files), and state closure counts (S52 list parse). Each adds a screen column when pulled.</t>
  </si>
  <si>
    <t xml:space="preserve">Basis closed, 10 July 2026. Column G is the OFFICIAL state cut from the Medicare by-Geography file (S73); column H measures how far the provider-state aggregation in column B drifts from it. Nationally the two files differ by 1.0% (9,637,009 official against 9,542,103 NPI-file: the Geography file suppresses less, so it recovers the small-biller tail). Large positive gaps in column H mark states whose enrolled suppliers serve neighbors; use column G for state levels from here on.</t>
  </si>
  <si>
    <t xml:space="preserve">Median official services per 1,000 FFS across states</t>
  </si>
  <si>
    <t xml:space="preserve">Highest over lowest state (official per-1,000)</t>
  </si>
  <si>
    <t xml:space="preserve">Coefficient of variation, utilization per 1,000</t>
  </si>
  <si>
    <t xml:space="preserve">Median billing organizations per 100,000 FFS</t>
  </si>
  <si>
    <t xml:space="preserve">Coefficient of variation, supplier density</t>
  </si>
  <si>
    <t xml:space="preserve">Median MA and other share</t>
  </si>
  <si>
    <t xml:space="preserve">States with MA and other share above one half</t>
  </si>
  <si>
    <t xml:space="preserve">Dispersion is the point: utilization and supply density both vary severalfold across states, so national averages describe no actual market. The screens above rank the tails.</t>
  </si>
  <si>
    <t xml:space="preserve">The 25 largest metro markets by Medicare ground volume, with local structure.</t>
  </si>
  <si>
    <t xml:space="preserve">The question: what does competition look like where contracts are actually won? The largest metro markets with local supplier counts, volumes, and top-biller concentration. national fragmentation hides metro-level oligopoly. All metro figures are floors, for the reason stated below the table.</t>
  </si>
  <si>
    <t xml:space="preserve">Metro area (CBSA)</t>
  </si>
  <si>
    <t xml:space="preserve">Approved ground services 2024 (floor)</t>
  </si>
  <si>
    <t xml:space="preserve">Billing NPIs (floor)</t>
  </si>
  <si>
    <t xml:space="preserve">Top-3 NPI share within metro</t>
  </si>
  <si>
    <t xml:space="preserve">Largest local biller (as enrolled)</t>
  </si>
  <si>
    <t xml:space="preserve">New York-Newark-Jersey City</t>
  </si>
  <si>
    <t xml:space="preserve">Seniorcare Emergency Medical Services Inc.</t>
  </si>
  <si>
    <t xml:space="preserve">Chicago-Naperville-Elgin</t>
  </si>
  <si>
    <t xml:space="preserve">Superior Air-Ground Ambulance Service, Inc</t>
  </si>
  <si>
    <t xml:space="preserve">Lafayette LA</t>
  </si>
  <si>
    <t xml:space="preserve">Los Angeles-Long Beach-Anaheim</t>
  </si>
  <si>
    <t xml:space="preserve">Miami-Fort Lauderdale-West Palm Beach</t>
  </si>
  <si>
    <t xml:space="preserve">Board Of County Commissioners Palm Beach C</t>
  </si>
  <si>
    <t xml:space="preserve">Houston-Pasadena-The Woodlands</t>
  </si>
  <si>
    <t xml:space="preserve">City Of Houston</t>
  </si>
  <si>
    <t xml:space="preserve">San Diego-Chula Vista-Carlsbad</t>
  </si>
  <si>
    <t xml:space="preserve">American Medical Response Ambulance Servic</t>
  </si>
  <si>
    <t xml:space="preserve">Corpus Christi</t>
  </si>
  <si>
    <t xml:space="preserve">Lone Star Ambulance 1, Llc</t>
  </si>
  <si>
    <t xml:space="preserve">Jacksonville FL</t>
  </si>
  <si>
    <t xml:space="preserve">City Of Jacksonville</t>
  </si>
  <si>
    <t xml:space="preserve">Knoxville</t>
  </si>
  <si>
    <t xml:space="preserve">Shoals Ambulance Llc</t>
  </si>
  <si>
    <t xml:space="preserve">Philadelphia-Camden-Wilmington</t>
  </si>
  <si>
    <t xml:space="preserve">City Of Philadelphia</t>
  </si>
  <si>
    <t xml:space="preserve">Memphis</t>
  </si>
  <si>
    <t xml:space="preserve">City Of Memphis General City Govt.</t>
  </si>
  <si>
    <t xml:space="preserve">San Antonio-New Braunfels</t>
  </si>
  <si>
    <t xml:space="preserve">City Of San Antonio Texas</t>
  </si>
  <si>
    <t xml:space="preserve">Dallas-Fort Worth-Arlington</t>
  </si>
  <si>
    <t xml:space="preserve">Metropolitan Area Ems Authority</t>
  </si>
  <si>
    <t xml:space="preserve">Phoenix-Mesa-Chandler</t>
  </si>
  <si>
    <t xml:space="preserve">Maricopa Ambulance, Llc</t>
  </si>
  <si>
    <t xml:space="preserve">Minneapolis-St. Paul-Bloomington</t>
  </si>
  <si>
    <t xml:space="preserve">Allina Health System</t>
  </si>
  <si>
    <t xml:space="preserve">Greenville-Anderson-Greer</t>
  </si>
  <si>
    <t xml:space="preserve">Prisma Health-Upstate</t>
  </si>
  <si>
    <t xml:space="preserve">New Haven</t>
  </si>
  <si>
    <t xml:space="preserve">American Medical Response Of Connecticut I</t>
  </si>
  <si>
    <t xml:space="preserve">Louisville/Jefferson County</t>
  </si>
  <si>
    <t xml:space="preserve">Louisville Jefferson County Metro Governme</t>
  </si>
  <si>
    <t xml:space="preserve">Columbus OH</t>
  </si>
  <si>
    <t xml:space="preserve">Cems Of Ohio Inc</t>
  </si>
  <si>
    <t xml:space="preserve">Raleigh-Cary</t>
  </si>
  <si>
    <t xml:space="preserve">County Of Wake</t>
  </si>
  <si>
    <t xml:space="preserve">Atlanta-Sandy Springs-Roswell</t>
  </si>
  <si>
    <t xml:space="preserve">Grady Ems Llc</t>
  </si>
  <si>
    <t xml:space="preserve">Tampa-St. Petersburg-Clearwater</t>
  </si>
  <si>
    <t xml:space="preserve">Hillsborough County Florida Board Of Count</t>
  </si>
  <si>
    <t xml:space="preserve">Springfield MA</t>
  </si>
  <si>
    <t xml:space="preserve">American Medical Response Of Massachusetts</t>
  </si>
  <si>
    <t xml:space="preserve">Fresno</t>
  </si>
  <si>
    <t xml:space="preserve">Kwph Enterprises Inc</t>
  </si>
  <si>
    <t xml:space="preserve">Coverage. Principal-city mapping assigns 22% of national approved services to a CBSA; 78% sits in unassigned cities (suburbs, rural, small metros) and is EXCLUDED above. Metro ranks among the top 10 are robust to this floor; ranks 15 to 25 are not, and no metro-to-metro ratio should be quoted until the full crosswalk lands. Logged on Fault_Audit.</t>
  </si>
  <si>
    <t xml:space="preserve">Local concentration inverts the national picture: nationally the top 10 NPIs hold 6.2% of volume, but within a single metro the top 3 local billers routinely hold a third to two thirds. Ambulance competition is metro-by-metro oligopoly sitting inside national fragmentation, which is exactly the structure a roll-up thesis needs: local density wins contracts, national scale wins nothing operational.</t>
  </si>
  <si>
    <t xml:space="preserve">Median top-3 share within the mapped slice, ten largest metros</t>
  </si>
  <si>
    <t xml:space="preserve">Top-10 metros as a share of the top-25 shown</t>
  </si>
  <si>
    <t xml:space="preserve">All figures are floors under the principal-city mapping (coverage stated above). The top-3 shares measure concentration WITHIN the mapped slice and are biased upward wherever few billers mapped; the ten largest metros carry the most mapped billers and are the least biased, which is why the median is taken there. Treat these as ceilings on local concentration until the full crosswalk (P3) lands.</t>
  </si>
  <si>
    <t xml:space="preserve">The imbalance ledger: demand over supply, one published ratio at a time.</t>
  </si>
  <si>
    <t xml:space="preserve">The question: is the gap between transport need and transport capacity widening? Answered without a composite index: matched demand-over-supply ratios with their confounds printed in the same row, a direction table for every stack component, the dark-share series showing the unmeasurable market growing by pure arithmetic, and a register of dated, quantified whitespace.</t>
  </si>
  <si>
    <t xml:space="preserve">Panel A. Matched-pair ratios, 2019 against 2024.</t>
  </si>
  <si>
    <t xml:space="preserve">Inputs and confound</t>
  </si>
  <si>
    <t xml:space="preserve">Medicare beneficiaries per billing organization</t>
  </si>
  <si>
    <t xml:space="preserve">Total beneficiaries (S60) over ground billing NPIs (S62). Clean pair; NPI floor understates the rise if small billers exited fastest.</t>
  </si>
  <si>
    <t xml:space="preserve">A and B FFS beneficiaries per billing organization</t>
  </si>
  <si>
    <t xml:space="preserve">The FFS-window version: DOWN 12.5%, because the window shrank faster than suppliers exited. The beneficiary-based ratio above is the demand-side read; this one measures the squeeze on the measurable book per survivor.</t>
  </si>
  <si>
    <t xml:space="preserve">FFS-visible transports per paid EMS worker</t>
  </si>
  <si>
    <t xml:space="preserve">Confounded by design: numerator is Medicare FFS only, denominator serves all payers. Falls because the window shrank, not because crews idle. Retained as a worked example of a ratio that appears to show slack and does not.</t>
  </si>
  <si>
    <t xml:space="preserve">Payer update minus EMT wage growth, 2019-2024</t>
  </si>
  <si>
    <t xml:space="preserve">Wage growth (col B) vs compounded AIF (col C), links to Workforce_Supply Panel B. Near-zero on this window; the read there governs.</t>
  </si>
  <si>
    <t xml:space="preserve">Panel B. Direction table. Every stack component, one line, one direction.</t>
  </si>
  <si>
    <t xml:space="preserve">Direction on its own window</t>
  </si>
  <si>
    <t xml:space="preserve">Favors</t>
  </si>
  <si>
    <t xml:space="preserve">65+ population</t>
  </si>
  <si>
    <t xml:space="preserve">Up 2.4%/yr through 2030</t>
  </si>
  <si>
    <t xml:space="preserve">Up 11.4 pts vs pre-pandemic</t>
  </si>
  <si>
    <t xml:space="preserve">Staffed beds</t>
  </si>
  <si>
    <t xml:space="preserve">Down 16%</t>
  </si>
  <si>
    <t xml:space="preserve">Demand (transfer pressure), Supply (receiving)</t>
  </si>
  <si>
    <t xml:space="preserve">SNF-to-hospital transports</t>
  </si>
  <si>
    <t xml:space="preserve">Up 3.6%/yr</t>
  </si>
  <si>
    <t xml:space="preserve">H@H programs</t>
  </si>
  <si>
    <t xml:space="preserve">Extended to 2030, growing</t>
  </si>
  <si>
    <t xml:space="preserve">Paid EMS employment</t>
  </si>
  <si>
    <t xml:space="preserve">Up 8.6%</t>
  </si>
  <si>
    <t xml:space="preserve">Billing organizations</t>
  </si>
  <si>
    <t xml:space="preserve">Down 6.3% over decade</t>
  </si>
  <si>
    <t xml:space="preserve">Demand per supplier</t>
  </si>
  <si>
    <t xml:space="preserve">Down 19.4%</t>
  </si>
  <si>
    <t xml:space="preserve">Exit of scheduled-transport capacity</t>
  </si>
  <si>
    <t xml:space="preserve">Desert population</t>
  </si>
  <si>
    <t xml:space="preserve">4.5M level, undercounted</t>
  </si>
  <si>
    <t xml:space="preserve">Unserved demand</t>
  </si>
  <si>
    <t xml:space="preserve">California offload hours</t>
  </si>
  <si>
    <t xml:space="preserve">13,365 hours per half-year</t>
  </si>
  <si>
    <t xml:space="preserve">Supply destroyed</t>
  </si>
  <si>
    <t xml:space="preserve">MA dark share</t>
  </si>
  <si>
    <t xml:space="preserve">Up every year since 2013</t>
  </si>
  <si>
    <t xml:space="preserve">Unmeasured market</t>
  </si>
  <si>
    <t xml:space="preserve">Per-beneficiary FFS utilization</t>
  </si>
  <si>
    <t xml:space="preserve">Down 11.9%</t>
  </si>
  <si>
    <t xml:space="preserve">The honest offset; supply-side ratios must beat it to claim tightening</t>
  </si>
  <si>
    <t xml:space="preserve">Panel C. The dark share: the fraction of the Medicare transport market public claims cannot see. Pure arithmetic on the enrollment file.</t>
  </si>
  <si>
    <t xml:space="preserve">Share of beneficiaries outside A and B FFS</t>
  </si>
  <si>
    <t xml:space="preserve">The whitespace that grows by arithmetic: every point of MA migration moves transport volume from the measured book to the unmeasured one. 37% dark in 2013, a majority by the mid-2020s, CBO pointing at 63%. A target with MA contracting captures volume this entire public evidence base cannot count.</t>
  </si>
  <si>
    <t xml:space="preserve">Panel D. Whitespace register. Dated stocks of unmet, unserved, or destroyed capacity.</t>
  </si>
  <si>
    <t xml:space="preserve">Quantity</t>
  </si>
  <si>
    <t xml:space="preserve">As of</t>
  </si>
  <si>
    <t xml:space="preserve">Nature</t>
  </si>
  <si>
    <t xml:space="preserve">People beyond 25 minutes from an ambulance station</t>
  </si>
  <si>
    <t xml:space="preserve">4,500,000 (2.3M rural, 2.2M urban); 41 states measured, so an undercount</t>
  </si>
  <si>
    <t xml:space="preserve">2021-2022</t>
  </si>
  <si>
    <t xml:space="preserve">Unserved coverage</t>
  </si>
  <si>
    <t xml:space="preserve">Counties containing at least one ambulance desert</t>
  </si>
  <si>
    <t xml:space="preserve">82% of counties in measured states</t>
  </si>
  <si>
    <t xml:space="preserve">States with under 3 ambulances per 1,000 square miles</t>
  </si>
  <si>
    <t xml:space="preserve">8 (NV, WY, MT, UT, NM, ID, ND, SD)</t>
  </si>
  <si>
    <t xml:space="preserve">Thin supply</t>
  </si>
  <si>
    <t xml:space="preserve">California crew-hours lost to offload delay beyond 30 minutes</t>
  </si>
  <si>
    <t xml:space="preserve">13,365 hours in six months; 19.1% of offloads over standard</t>
  </si>
  <si>
    <t xml:space="preserve">Apr-Sep 2024</t>
  </si>
  <si>
    <t xml:space="preserve">Capacity destroyed at the ED door; CEMSIS participants only, a floor</t>
  </si>
  <si>
    <t xml:space="preserve">154 (Sheps convention)</t>
  </si>
  <si>
    <t xml:space="preserve">Sending-side exits lengthening every remaining transport</t>
  </si>
  <si>
    <t xml:space="preserve">Median ED-to-transfer delay</t>
  </si>
  <si>
    <t xml:space="preserve">287 minutes</t>
  </si>
  <si>
    <t xml:space="preserve">Jul 2024-Jun 2025</t>
  </si>
  <si>
    <t xml:space="preserve">Throughput friction the SMOCC evidence says is movable</t>
  </si>
  <si>
    <t xml:space="preserve">Dark-share drift, points per year, 2013 to 2025</t>
  </si>
  <si>
    <t xml:space="preserve">Years until the CBO 63% at that pace</t>
  </si>
  <si>
    <t xml:space="preserve">The second line is arithmetic on the observed drift against the CBO projection, not a forecast of this workbook.</t>
  </si>
  <si>
    <t xml:space="preserve">Sizing playbook: how the team converges on a defensible market number</t>
  </si>
  <si>
    <t xml:space="preserve">The question: how does the team get from evidence to a market size that survives challenge? The agreed answer is two independent builds that must meet: a bottoms-up build seeded by claims data and operator economics, and a top-down build seeded by hospital activity and observed mission ratios. This tab is the structure of both builds, with every input mapped to a Fact ID in this workbook or named as an external input still to arrive. No figure is invented here: cells awaiting client or engagement data are bordered and labeled, and stay empty until the real number lands.</t>
  </si>
  <si>
    <t xml:space="preserve">Panel A. The market segmentation both builds must respect.</t>
  </si>
  <si>
    <t xml:space="preserve">Segment</t>
  </si>
  <si>
    <t xml:space="preserve">Definition</t>
  </si>
  <si>
    <t xml:space="preserve">Where it is measurable today</t>
  </si>
  <si>
    <t xml:space="preserve">What completes it</t>
  </si>
  <si>
    <t xml:space="preserve">1. Payer-reimbursed</t>
  </si>
  <si>
    <t xml:space="preserve">Transport volume that produces a paid claim: all outsourced billing plus the portion of hospital-billed work that is actually collected.</t>
  </si>
  <si>
    <t xml:space="preserve">Medicare FFS ground is fully measured here: 10,637,766 transports and $5.06B allowed in 2024 (F111, F114; Medicare_OD_Matrix). Commercial and MA volumes are structurally absent from public claims (Fault_Audit B; the dark-share series).</t>
  </si>
  <si>
    <t xml:space="preserve">The engagement claims pull, which includes ALL emergency codes plus the interfacility codes, prices the commercial book; MA remains the largest gap and is bounded, not measured.</t>
  </si>
  <si>
    <t xml:space="preserve">2. Non-payer-reimbursed: eligible but unbilled</t>
  </si>
  <si>
    <t xml:space="preserve">Volume a payer would reimburse that never becomes a clean claim: hospital revenue-cycle leakage, vendor-bills-hospital-fails-to-bill arrangements, underbilling.</t>
  </si>
  <si>
    <t xml:space="preserve">Invisible in every public claims source by definition. The direction is measurable: insourced programs leave collectible revenue behind, which is why insourced share of MISSIONS runs higher than insourced share of REVENUE.</t>
  </si>
  <si>
    <t xml:space="preserve">Operator benchmarks: observed billing-capture rates from diligence on insourced programs, and the engagement reference data on what customers actually pay per mission.</t>
  </si>
  <si>
    <t xml:space="preserve">3. Non-payer-reimbursed: not reimbursable</t>
  </si>
  <si>
    <t xml:space="preserve">Volume no payer owes: load balancing between campuses, moves that fail medical-necessity, payer-of-last-resort situations.</t>
  </si>
  <si>
    <t xml:space="preserve">Not in claims and never will be. The facility-pay component of operator revenue is its financial shadow.</t>
  </si>
  <si>
    <t xml:space="preserve">Operator mission logs tied to customers: the share of missions with no claim attached, priced at the facility-pay rate.</t>
  </si>
  <si>
    <t xml:space="preserve">4. Non-hospital origins (the plus-four bucket)</t>
  </si>
  <si>
    <t xml:space="preserve">Interfacility legs that do not start at a hospital: freestanding EDs, ambulatory surgery centers, and other demand points.</t>
  </si>
  <si>
    <t xml:space="preserve">Systematically undercounted in claims because systems running their own transport rarely bill these legs. Freestanding-ED growth is real and documented; the size of this bucket is an open question the client flagged at roughly fifteen to twenty percent, explicitly unconfirmed.</t>
  </si>
  <si>
    <t xml:space="preserve">A data-informed estimate from operator install-base composition, cross-checked against freestanding-ED counts. Carried as a separate line so the systemization narrative is not lost inside the hospital totals.</t>
  </si>
  <si>
    <t xml:space="preserve">Panel B. The bottoms-up build: claims-seeded, operator-corrected.</t>
  </si>
  <si>
    <t xml:space="preserve">Source in this workbook</t>
  </si>
  <si>
    <t xml:space="preserve">External input required</t>
  </si>
  <si>
    <t xml:space="preserve">Medicare FFS floor (volume and dollars)</t>
  </si>
  <si>
    <t xml:space="preserve">F111, F114; Medicare_OD_Matrix; acuity mix on Acuity_by_Channel</t>
  </si>
  <si>
    <t xml:space="preserve">None. Measured.</t>
  </si>
  <si>
    <t xml:space="preserve">Complete</t>
  </si>
  <si>
    <t xml:space="preserve">Medicare institutional (hospital-billed) channel</t>
  </si>
  <si>
    <t xml:space="preserve">Fault_Audit A; IFT_Alt_Measures route 3 (tested; not publicly countable)</t>
  </si>
  <si>
    <t xml:space="preserve">The current MedPAC headline transport count, once pinned, bounds this wedge (pending item P19)</t>
  </si>
  <si>
    <t xml:space="preserve">Bounded, pending</t>
  </si>
  <si>
    <t xml:space="preserve">Medicare Advantage volume</t>
  </si>
  <si>
    <t xml:space="preserve">Dark-share series, Imbalance_Ledger Panel C: 59.3% of beneficiaries unmeasurable in 2024</t>
  </si>
  <si>
    <t xml:space="preserve">MA encounter-based rates or engagement claims panel coverage</t>
  </si>
  <si>
    <t xml:space="preserve">Bounded, not measured</t>
  </si>
  <si>
    <t xml:space="preserve">Commercial volume and price</t>
  </si>
  <si>
    <t xml:space="preserve">Published multiples on Payer_Rates_Commercial (rotary 5.0x same-source; ground bounded)</t>
  </si>
  <si>
    <t xml:space="preserve">The engagement claims pull (all emergency plus IFT codes) for volume; reference reimbursement by mission type, geography, and payer</t>
  </si>
  <si>
    <t xml:space="preserve">Awaiting engagement data</t>
  </si>
  <si>
    <t xml:space="preserve">Eligible-but-unbilled correction</t>
  </si>
  <si>
    <t xml:space="preserve">Direction established (Panel A row 2)</t>
  </si>
  <si>
    <t xml:space="preserve">Billing-capture benchmarks from operator diligence experience</t>
  </si>
  <si>
    <t xml:space="preserve">Awaiting operator input</t>
  </si>
  <si>
    <t xml:space="preserve">Non-reimbursable volume</t>
  </si>
  <si>
    <t xml:space="preserve">Definition and drivers (Panel A row 3)</t>
  </si>
  <si>
    <t xml:space="preserve">Mission-per-customer logs with the facility-pay component</t>
  </si>
  <si>
    <t xml:space="preserve">Panel C. The top-down build: hospital activity times observed mission ratios.</t>
  </si>
  <si>
    <t xml:space="preserve">Identity: system discharges and ED visits, times missions per discharge and missions per ED transport, grossed up for the corrections in Panel A. The activity side is measured in this workbook: ED visits (F01, 155.4M), national discharges and the transfer shares (Acute_IFT_Series), and the receiving-side census. The RATIO side is deliberately empty below: those cells take the client-observed metrics (the missions-per-discharge figures maintained since the value-calculator work, now in the reference file and quarterly reviews). No placeholder values are entered.</t>
  </si>
  <si>
    <t xml:space="preserve">Top-down input</t>
  </si>
  <si>
    <t xml:space="preserve">Measured value in this workbook</t>
  </si>
  <si>
    <t xml:space="preserve">Client-observed ratio (EXTERNAL INPUT)</t>
  </si>
  <si>
    <t xml:space="preserve">Product</t>
  </si>
  <si>
    <t xml:space="preserve">National ED visits, 2022 (F01)</t>
  </si>
  <si>
    <t xml:space="preserve">155,400,000</t>
  </si>
  <si>
    <t xml:space="preserve">AWAITING INPUT</t>
  </si>
  <si>
    <t xml:space="preserve">Computes when the ratio lands</t>
  </si>
  <si>
    <t xml:space="preserve">National transfers out of the ED, latest series year (Acute_IFT_Series)</t>
  </si>
  <si>
    <t xml:space="preserve">See tab; series through 2023</t>
  </si>
  <si>
    <t xml:space="preserve">System discharges (AHA universe, S06)</t>
  </si>
  <si>
    <t xml:space="preserve">See Demand_Drivers</t>
  </si>
  <si>
    <t xml:space="preserve">Non-hospital origin gross-up (Panel A row 4)</t>
  </si>
  <si>
    <t xml:space="preserve">Not applicable; separate line</t>
  </si>
  <si>
    <t xml:space="preserve">Panel D. Convergence and the six gates. The two builds must meet; a number that fails a gate does not ship.</t>
  </si>
  <si>
    <t xml:space="preserve">Gate 1: the number cannot sit below the measured Medicare FFS floor plus the bounded institutional wedge.</t>
  </si>
  <si>
    <t xml:space="preserve">Gate 2: implied transports per 1,000 covered lives must sit inside the plausibility band the measured FFS rates define (Utilization_Normalized), adjusted for the age mix of the covered population.</t>
  </si>
  <si>
    <t xml:space="preserve">Gate 3: the implied national activation count cannot exceed the EMS activation ceiling (EMS_Transports), coverage-adjusted.</t>
  </si>
  <si>
    <t xml:space="preserve">Gate 4: the acute slice must reconcile with the hospital transfer census (Acute_IFT_Series and Receiving_Side agree within their stated wedge).</t>
  </si>
  <si>
    <t xml:space="preserve">Gate 5: implied volume per supplier must be sane against the measured services-per-organization distribution (Supplier_Trend); a market that implies every survivor tripled overnight is wrong.</t>
  </si>
  <si>
    <t xml:space="preserve">Gate 6: the insourced share of missions must exceed the insourced share of revenue, in that direction, or the eligible-but-unbilled correction was misapplied.</t>
  </si>
  <si>
    <t xml:space="preserve">Panel E. The archetype cut of outsourced spend, specified for when the data lands.</t>
  </si>
  <si>
    <t xml:space="preserve">Four business-model archetypes divide the outsourced market: national providers whose books are mostly emergency response; full-service interfacility platforms operating across multiple metro areas; subscale regional operators; and single-market independents competing in jump-ball vendor stacks. Two structural facts shape the cut. First, acuity routes by sophistication: systems send high-acuity work to full-service platforms and low-acuity work to the independents, so archetype share differs by mission type, not just by dollars. Second, the metro footprint is the unit of value: a multi-metro platform is a different asset from a single-metro operator of the same revenue, which is why the market-structure tabs here carry the metro landscape and the state screens. The engagement claims pull, because it includes every emergency code alongside the interfacility codes, supports the decisive exhibit: the complete vendor stack inside any named health system, each vendor decomposed into its emergency-versus-interfacility mix, which shows exactly which archetype holds which slice of which customer.</t>
  </si>
  <si>
    <t xml:space="preserve">Deliberately out of scope for the platform thesis, per the operating guidance: dialysis runs, organ movement, and low-quality scheduled nursing-home work. The dialysis evidence in this workbook (the 63% collapse under prior authorization, Finding 26) independently supports treating that segment as structurally unattractive rather than as lost addressable market.</t>
  </si>
  <si>
    <t xml:space="preserve">National TAM model: United States ground ambulance, reimbursed spend</t>
  </si>
  <si>
    <t xml:space="preserve">The question: how large is the national ground ambulance market, and how fast does it grow? This model computes it three ways at once (low, base, high) from a fully measured Medicare spine plus an explicit assumption register. Every measured cell links green to its evidence tab; every assumption states its range, its basis, and who owns refining it. The outputs are scenario arithmetic, not asserted fact: the workbook still asserts no single point TAM, and the gates in Panel G reject any scenario that contradicts the measured evidence. This is the machinery the two-build convergence on Sizing_Playbook plugs into.</t>
  </si>
  <si>
    <t xml:space="preserve">Panel A. Outputs.</t>
  </si>
  <si>
    <t xml:space="preserve">Output</t>
  </si>
  <si>
    <t xml:space="preserve">Low</t>
  </si>
  <si>
    <t xml:space="preserve">Base</t>
  </si>
  <si>
    <t xml:space="preserve">Reading</t>
  </si>
  <si>
    <t xml:space="preserve">National TAM, 2024 (reimbursed ground spend)</t>
  </si>
  <si>
    <t xml:space="preserve">Sum of the five payer books in Panel F</t>
  </si>
  <si>
    <t xml:space="preserve">National ground transports, 2024</t>
  </si>
  <si>
    <t xml:space="preserve">Panel E total; lands inside the industry 35-50M band</t>
  </si>
  <si>
    <t xml:space="preserve">Scheduled and interfacility segment, 2024</t>
  </si>
  <si>
    <t xml:space="preserve">Medicare dollar mix applied across payers</t>
  </si>
  <si>
    <t xml:space="preserve">National TAM CAGR, 2024 to 2030</t>
  </si>
  <si>
    <t xml:space="preserve">Volume drivers times payer-blended price</t>
  </si>
  <si>
    <t xml:space="preserve">TAM 2030</t>
  </si>
  <si>
    <t xml:space="preserve">Scenario arithmetic</t>
  </si>
  <si>
    <t xml:space="preserve">Panel B. The measured spine. Green cells link to evidence tabs; nothing in this panel is assumed.</t>
  </si>
  <si>
    <t xml:space="preserve">Measured input</t>
  </si>
  <si>
    <t xml:space="preserve">US Medicare beneficiaries, 2024</t>
  </si>
  <si>
    <t xml:space="preserve">S60, enrollment file</t>
  </si>
  <si>
    <t xml:space="preserve">A and B FFS beneficiaries, 2024</t>
  </si>
  <si>
    <t xml:space="preserve">MA and other beneficiaries, 2024</t>
  </si>
  <si>
    <t xml:space="preserve">DERIVED from S60</t>
  </si>
  <si>
    <t xml:space="preserve">Medicare FFS O-D coded ground transports, 2024</t>
  </si>
  <si>
    <t xml:space="preserve">S39 (F111)</t>
  </si>
  <si>
    <t xml:space="preserve">Medicare FFS ground transports incl. institutional (MedPAC)</t>
  </si>
  <si>
    <t xml:space="preserve">Institutional and non-O-D wedge on the claims count</t>
  </si>
  <si>
    <t xml:space="preserve">DERIVED: MedPAC over claims</t>
  </si>
  <si>
    <t xml:space="preserve">Medicare FFS allowed per transport, 2024</t>
  </si>
  <si>
    <t xml:space="preserve">F114 over F111 (allowed basis)</t>
  </si>
  <si>
    <t xml:space="preserve">FFS ground transports per 1,000 FFS beneficiaries</t>
  </si>
  <si>
    <t xml:space="preserve">Scheduled and interfacility share of Medicare transports</t>
  </si>
  <si>
    <t xml:space="preserve">S39 code mix (non-emergency plus SCT plus ALS2)</t>
  </si>
  <si>
    <t xml:space="preserve">Scheduled and interfacility share of Medicare allowed dollars</t>
  </si>
  <si>
    <t xml:space="preserve">S39 code mix</t>
  </si>
  <si>
    <t xml:space="preserve">US resident population, 2023-2024</t>
  </si>
  <si>
    <t xml:space="preserve">S77, Census ACS via KFF</t>
  </si>
  <si>
    <t xml:space="preserve">Uninsured share of population, 2023</t>
  </si>
  <si>
    <t xml:space="preserve">S77, KFF (26M people)</t>
  </si>
  <si>
    <t xml:space="preserve">Military coverage share (TRICARE and VA)</t>
  </si>
  <si>
    <t xml:space="preserve">S77, KFF</t>
  </si>
  <si>
    <t xml:space="preserve">Panel C. Assumption register. Shaded cells are the model inputs; each row names its basis and its owner.</t>
  </si>
  <si>
    <t xml:space="preserve">Assumption</t>
  </si>
  <si>
    <t xml:space="preserve">Medicaid lives outside Medicare (non-dual), millions</t>
  </si>
  <si>
    <t xml:space="preserve">KFF 2023 classification (about 20% of population including 12M duals), reduced for the 2023-24 unwinding; range brackets the post-unwinding uncertainty</t>
  </si>
  <si>
    <t xml:space="preserve">SOURCED RANGE (S77); refine with enrollment data</t>
  </si>
  <si>
    <t xml:space="preserve">MA ground utilization relative to FFS</t>
  </si>
  <si>
    <t xml:space="preserve">MA plans manage non-emergency transport through prior authorization and network design; direction supported by policy structure, magnitude unmeasured publicly</t>
  </si>
  <si>
    <t xml:space="preserve">TEAM INPUT; the engagement claims panel resolves it</t>
  </si>
  <si>
    <t xml:space="preserve">MA allowed as a multiple of Medicare FFS</t>
  </si>
  <si>
    <t xml:space="preserve">Plan payment for ambulance typically anchors to the fee schedule in and near network</t>
  </si>
  <si>
    <t xml:space="preserve">TEAM INPUT</t>
  </si>
  <si>
    <t xml:space="preserve">Medicaid ground transports per 1,000 non-dual lives</t>
  </si>
  <si>
    <t xml:space="preserve">Disability mix raises use above commercial; NEMT (S48) is a separate benefit and is EXCLUDED here</t>
  </si>
  <si>
    <t xml:space="preserve">TEAM INPUT; Komodo-refinable</t>
  </si>
  <si>
    <t xml:space="preserve">Medicaid allowed as a multiple of Medicare FFS</t>
  </si>
  <si>
    <t xml:space="preserve">State fee schedules sit well below Medicare in most states</t>
  </si>
  <si>
    <t xml:space="preserve">TEAM INPUT; state schedule survey</t>
  </si>
  <si>
    <t xml:space="preserve">Commercial ground transports per 1,000 lives</t>
  </si>
  <si>
    <t xml:space="preserve">Anchored to the KFF finding of about 3M privately insured ED ambulance rides a year (about 17 per 1,000 ED-origin) plus a non-emergency uplift</t>
  </si>
  <si>
    <t xml:space="preserve">SOURCED ANCHOR (S77) plus TEAM range; the claims pull resolves it</t>
  </si>
  <si>
    <t xml:space="preserve">Commercial allowed as a multiple of Medicare FFS</t>
  </si>
  <si>
    <t xml:space="preserve">Low is the pinned cross-year FAIR ground multiple (Payer_Rates_Commercial B22); high is the HCCI same-year figure pending verification (P17)</t>
  </si>
  <si>
    <t xml:space="preserve">PUBLISHED BOUNDS</t>
  </si>
  <si>
    <t xml:space="preserve">Self-pay transports per 1,000 uninsured</t>
  </si>
  <si>
    <t xml:space="preserve">911-weighted use among the uninsured</t>
  </si>
  <si>
    <t xml:space="preserve">Self-pay realized revenue as a multiple of Medicare</t>
  </si>
  <si>
    <t xml:space="preserve">Collections on self-pay ambulance are a fraction of charges</t>
  </si>
  <si>
    <t xml:space="preserve">Panel D. Lives by payer. Commercial lives fall out as the residual, so the payer universe always sums to the population.</t>
  </si>
  <si>
    <t xml:space="preserve">Lives (millions)</t>
  </si>
  <si>
    <t xml:space="preserve">Medicare (all, includes duals)</t>
  </si>
  <si>
    <t xml:space="preserve">Green spine</t>
  </si>
  <si>
    <t xml:space="preserve">Medicaid, non-dual</t>
  </si>
  <si>
    <t xml:space="preserve">Assumption row above</t>
  </si>
  <si>
    <t xml:space="preserve">Uninsured</t>
  </si>
  <si>
    <t xml:space="preserve">Military coverage</t>
  </si>
  <si>
    <t xml:space="preserve">Commercial (residual)</t>
  </si>
  <si>
    <t xml:space="preserve">Population minus all other payers</t>
  </si>
  <si>
    <t xml:space="preserve">Panel E. Transports by payer (millions).</t>
  </si>
  <si>
    <t xml:space="preserve">Volume build</t>
  </si>
  <si>
    <t xml:space="preserve">Formula in words</t>
  </si>
  <si>
    <t xml:space="preserve">Medicare FFS (measured, incl. institutional wedge)</t>
  </si>
  <si>
    <t xml:space="preserve">Measured MedPAC count, all three scenarios</t>
  </si>
  <si>
    <t xml:space="preserve">Medicare Advantage</t>
  </si>
  <si>
    <t xml:space="preserve">MA lives times the FFS per-1,000 rate times the MA utilization factor</t>
  </si>
  <si>
    <t xml:space="preserve">Non-dual lives times the Medicaid rate per 1,000</t>
  </si>
  <si>
    <t xml:space="preserve">Commercial</t>
  </si>
  <si>
    <t xml:space="preserve">Residual lives times the commercial rate per 1,000</t>
  </si>
  <si>
    <t xml:space="preserve">Self-pay</t>
  </si>
  <si>
    <t xml:space="preserve">Uninsured lives times the self-pay rate per 1,000</t>
  </si>
  <si>
    <t xml:space="preserve">Total national ground transports</t>
  </si>
  <si>
    <t xml:space="preserve">Panel F. Spend by payer (allowed-equivalent dollars).</t>
  </si>
  <si>
    <t xml:space="preserve">Spend build</t>
  </si>
  <si>
    <t xml:space="preserve">Price basis</t>
  </si>
  <si>
    <t xml:space="preserve">Medicare FFS</t>
  </si>
  <si>
    <t xml:space="preserve">Measured $ per transport</t>
  </si>
  <si>
    <t xml:space="preserve">FFS price times the MA multiple</t>
  </si>
  <si>
    <t xml:space="preserve">Medicaid</t>
  </si>
  <si>
    <t xml:space="preserve">FFS price times the Medicaid multiple</t>
  </si>
  <si>
    <t xml:space="preserve">FFS price times the published-bounds multiple</t>
  </si>
  <si>
    <t xml:space="preserve">Self-pay (realized)</t>
  </si>
  <si>
    <t xml:space="preserve">FFS price times the realized-collections multiple</t>
  </si>
  <si>
    <t xml:space="preserve">NATIONAL TAM, reimbursed ground ambulance spend, 2024</t>
  </si>
  <si>
    <t xml:space="preserve">Scheduled and interfacility segment (Medicare dollar mix applied)</t>
  </si>
  <si>
    <t xml:space="preserve">Applying the Medicare code mix across payers is itself an assumption; the claims pull refines it by payer.</t>
  </si>
  <si>
    <t xml:space="preserve">Panel G. Gates. A scenario that fails a gate is rejected, not averaged.</t>
  </si>
  <si>
    <t xml:space="preserve">Gate</t>
  </si>
  <si>
    <t xml:space="preserve">Test</t>
  </si>
  <si>
    <t xml:space="preserve">TAM at or above the measured Medicare floor</t>
  </si>
  <si>
    <t xml:space="preserve">Gate 1: measured floor</t>
  </si>
  <si>
    <t xml:space="preserve">Implied national transports per 1,000 residents</t>
  </si>
  <si>
    <t xml:space="preserve">Gate 2: read against the 90 to 150 plausibility band the age-mix implies</t>
  </si>
  <si>
    <t xml:space="preserve">Medicare share of national volume</t>
  </si>
  <si>
    <t xml:space="preserve">Gate 5 companion: operators report Medicare-heavy books; a share far from one half flags the rate assumptions</t>
  </si>
  <si>
    <t xml:space="preserve">Model Medicare FFS spend against MedPAC published</t>
  </si>
  <si>
    <t xml:space="preserve">Gate 1b: should sit near 1.0x by construction</t>
  </si>
  <si>
    <t xml:space="preserve">Panel H. National growth: the CAGR driver tree, 2024 to 2030.</t>
  </si>
  <si>
    <t xml:space="preserve">Volume: Medicare beneficiary growth per year</t>
  </si>
  <si>
    <t xml:space="preserve">Measured 2013-2025 CAGR (green), applied forward</t>
  </si>
  <si>
    <t xml:space="preserve">Volume: Medicare weight in national volume</t>
  </si>
  <si>
    <t xml:space="preserve">From Panel E by scenario</t>
  </si>
  <si>
    <t xml:space="preserve">Volume: non-Medicare population growth per year</t>
  </si>
  <si>
    <t xml:space="preserve">Census-consistent</t>
  </si>
  <si>
    <t xml:space="preserve">Volume: per-capita utilization drift per year</t>
  </si>
  <si>
    <t xml:space="preserve">Measured FFS per-capita fell 2.5%/yr under a shrinking window; base holds flat nationally, the range brackets policy against boarding pressure</t>
  </si>
  <si>
    <t xml:space="preserve">Blended volume growth per year</t>
  </si>
  <si>
    <t xml:space="preserve">Price: payer-blended update per year</t>
  </si>
  <si>
    <t xml:space="preserve">AIF structure (CPI-U minus productivity); the 2020-2024 compounded equivalent was 3.45%; low includes the 2028 add-on expiry drag if not extended (F117)</t>
  </si>
  <si>
    <t xml:space="preserve">NATIONAL TAM CAGR, 2024 to 2030</t>
  </si>
  <si>
    <t xml:space="preserve">TAM 2030 (scenario arithmetic)</t>
  </si>
  <si>
    <t xml:space="preserve">Panel I. Modeling questions the team will ask, answered.</t>
  </si>
  <si>
    <t xml:space="preserve">Why a range and not a number?</t>
  </si>
  <si>
    <t xml:space="preserve">Because three of the five payer books have no public measurement. The base case is the defensible center, the range is the honest width, and the gates keep all three tethered to what IS measured. Quoting the base without the range misrepresents the model.</t>
  </si>
  <si>
    <t xml:space="preserve">What moves the number most?</t>
  </si>
  <si>
    <t xml:space="preserve">In order: the commercial rate per 1,000 (each 5 per 1,000 moves TAM about $0.8B at the base multiple), the commercial price multiple (each 0.1x about $0.3B), the MA utilization factor, then Medicaid rate. The Medicare block barely moves: it is measured.</t>
  </si>
  <si>
    <t xml:space="preserve">How does client and engagement data update this?</t>
  </si>
  <si>
    <t xml:space="preserve">The claims pull replaces the commercial rate and multiple with measured values; the reference reimbursement file replaces the MA and Medicaid multiples; mission logs price the non-reimbursed adders that sit OUTSIDE this reimbursed-spend TAM (Sizing_Playbook Panel A rows 2 to 4). Each replacement turns a shaded cell green.</t>
  </si>
  <si>
    <t xml:space="preserve">How does this reconcile with the top-down build?</t>
  </si>
  <si>
    <t xml:space="preserve">Panel E total transports is the meeting point: the discharge-and-ED build on Sizing_Playbook Panel C must land inside the Panel A volume range or one of the two is wrong. Convergence is the test, per the engagement guidance.</t>
  </si>
  <si>
    <t xml:space="preserve">What is deliberately excluded?</t>
  </si>
  <si>
    <t xml:space="preserve">Medicaid NEMT (a separate $2.6B+ benefit, S48), air ambulance (its own economics, Air_Ambulance_IFT), facility-pay and unbilled volume (real, but not reimbursed spend; they are additive layers owned by Sizing_Playbook), and any vendor market report.</t>
  </si>
  <si>
    <t xml:space="preserve">Engagement data map: which source answers which question</t>
  </si>
  <si>
    <t xml:space="preserve">The question: for every question this engagement must answer, where does the number come from? Three source families work together: this evidence base (public, verified, already built), the engagement claims and interview program, and the operating data arriving from the client team. This map keeps the three aligned so no question is answered twice differently, and no input is waited on that already exists.</t>
  </si>
  <si>
    <t xml:space="preserve">Question the work must answer</t>
  </si>
  <si>
    <t xml:space="preserve">This workbook already provides</t>
  </si>
  <si>
    <t xml:space="preserve">Engagement sources (claims pull, interviews, survey)</t>
  </si>
  <si>
    <t xml:space="preserve">Client-side inputs expected</t>
  </si>
  <si>
    <t xml:space="preserve">Fact IDs to quote</t>
  </si>
  <si>
    <t xml:space="preserve">How big is the market, and can the number survive challenge?</t>
  </si>
  <si>
    <t xml:space="preserve">The measured Medicare floor, the bounded MA and institutional wedges, per-capita plausibility bands, and the six convergence gates (Sizing_Playbook).</t>
  </si>
  <si>
    <t xml:space="preserve">The claims pull prices commercial volume; interviews and survey validate the corrections.</t>
  </si>
  <si>
    <t xml:space="preserve">Reference reimbursement by mission type, geography, and payer; missions-per-discharge metrics; quarterly customer reviews.</t>
  </si>
  <si>
    <t xml:space="preserve">F111, F114, F163</t>
  </si>
  <si>
    <t xml:space="preserve">How is it segmented: payer-reimbursed versus not, hospital versus non-hospital origin?</t>
  </si>
  <si>
    <t xml:space="preserve">The segmentation tree with what is measurable in each cell (Sizing_Playbook Panel A); freestanding-ED undercount mechanics.</t>
  </si>
  <si>
    <t xml:space="preserve">Interview probes on billing practice; survey incidence of unbilled legs.</t>
  </si>
  <si>
    <t xml:space="preserve">Mission logs tied to customers, including no-claim missions and the facility-pay component.</t>
  </si>
  <si>
    <t xml:space="preserve">Fault_Audit A, B</t>
  </si>
  <si>
    <t xml:space="preserve">Insourced versus outsourced, and why missions and revenue disagree</t>
  </si>
  <si>
    <t xml:space="preserve">The direction and the mechanism (eligible-but-unbilled leakage), plus the government share of emergency response (62%) framing private whitespace as scheduled and interfacility work.</t>
  </si>
  <si>
    <t xml:space="preserve">Claims-observed vendor share inside systems.</t>
  </si>
  <si>
    <t xml:space="preserve">Operator benchmarks on billing capture from prior diligences.</t>
  </si>
  <si>
    <t xml:space="preserve">S69 panel, Workforce_Supply E</t>
  </si>
  <si>
    <t xml:space="preserve">The archetype structure of outsourced spend</t>
  </si>
  <si>
    <t xml:space="preserve">National fragmentation versus metro oligopoly (Finding 38); the metro landscape and state screens; the archetype specification (Sizing_Playbook Panel E).</t>
  </si>
  <si>
    <t xml:space="preserve">The vendor-stack-within-system exhibit from the all-codes claims pull: each vendor decomposed into emergency versus interfacility mix.</t>
  </si>
  <si>
    <t xml:space="preserve">Named reference accounts and their vendor histories for the interview program.</t>
  </si>
  <si>
    <t xml:space="preserve">F163; MSA_Landscape</t>
  </si>
  <si>
    <t xml:space="preserve">Where is the whitespace, geographically and structurally?</t>
  </si>
  <si>
    <t xml:space="preserve">The state screen three ways (utilization, density, MA window); desert population; offload hours; the dark-share series growing by arithmetic.</t>
  </si>
  <si>
    <t xml:space="preserve">Interviews on unserved demand and contract turnover.</t>
  </si>
  <si>
    <t xml:space="preserve">Customer-level service-area detail.</t>
  </si>
  <si>
    <t xml:space="preserve">F156, F157, F163; Imbalance_Ledger</t>
  </si>
  <si>
    <t xml:space="preserve">What do payers actually pay?</t>
  </si>
  <si>
    <t xml:space="preserve">The complete Medicare price mechanics including the add-on cliff (1 Jan 2028); published commercial multiples with bases stated.</t>
  </si>
  <si>
    <t xml:space="preserve">The claims pull is the commercial price source; the transparency files are the escalation path if more precision is required.</t>
  </si>
  <si>
    <t xml:space="preserve">Reference reimbursement schedules by payer.</t>
  </si>
  <si>
    <t xml:space="preserve">F117, F118; Payer_Rates_Commercial</t>
  </si>
  <si>
    <t xml:space="preserve">Is the market getting tighter?</t>
  </si>
  <si>
    <t xml:space="preserve">The imbalance ledger: need per supplier up 14.4%, scheduled-transport billers down 19.4%, receiving beds down 16%, the honest per-capita offset printed beside them.</t>
  </si>
  <si>
    <t xml:space="preserve">Interview corroboration on wait times and contract escalations.</t>
  </si>
  <si>
    <t xml:space="preserve">None required.</t>
  </si>
  <si>
    <t xml:space="preserve">F155, F159, F163</t>
  </si>
  <si>
    <t xml:space="preserve">Numbers safe to quote today, before any client data arrives</t>
  </si>
  <si>
    <t xml:space="preserve">If asked</t>
  </si>
  <si>
    <t xml:space="preserve">Quote</t>
  </si>
  <si>
    <t xml:space="preserve">Medicare interfacility-relevant ground volume</t>
  </si>
  <si>
    <t xml:space="preserve">10,637,766 transports, $5.06B allowed, 2024, origin-destination coded</t>
  </si>
  <si>
    <t xml:space="preserve">F111, F114</t>
  </si>
  <si>
    <t xml:space="preserve">The largest facility-to-facility channel</t>
  </si>
  <si>
    <t xml:space="preserve">The nursing-facility interface at 2.4M transports, 2.75 times the hospital-to-hospital pair</t>
  </si>
  <si>
    <t xml:space="preserve">F112, F113</t>
  </si>
  <si>
    <t xml:space="preserve">How much of Medicare is invisible to public claims</t>
  </si>
  <si>
    <t xml:space="preserve">59.3% of beneficiaries in 2024, from 37.4% in 2013, heading toward the CBO 63%</t>
  </si>
  <si>
    <t xml:space="preserve">Finding 36</t>
  </si>
  <si>
    <t xml:space="preserve">Supplier structure</t>
  </si>
  <si>
    <t xml:space="preserve">8,721 billing organizations (a floor), top ten holding 6.2% nationally, metro top-threes holding a third to two-thirds</t>
  </si>
  <si>
    <t xml:space="preserve">F163, Finding 38</t>
  </si>
  <si>
    <t xml:space="preserve">The scheduled-transport exit</t>
  </si>
  <si>
    <t xml:space="preserve">BLS non-emergency billers down 19.4% over the decade, falling every single year</t>
  </si>
  <si>
    <t xml:space="preserve">The one payer lever precedent</t>
  </si>
  <si>
    <t xml:space="preserve">Dialysis transports down 63% under prior authorization, against a flat hospital pair and a growing air channel</t>
  </si>
  <si>
    <t xml:space="preserve">Finding 26</t>
  </si>
  <si>
    <t xml:space="preserve">Nothing on this tab uses client-specific data. When the reference file, the quarterly reviews, and the mission-ratio metrics arrive, they populate the bordered inputs on Sizing_Playbook and this map gains a fourth column of resolved values.</t>
  </si>
  <si>
    <t xml:space="preserve">Cost benchmarks, hospital capacity and post-acute destination supply</t>
  </si>
  <si>
    <t xml:space="preserve">The question: what does a transport cost to produce? The only national cost collection, with its distribution, its ownership cuts, and the regulator's explicit warning that the data cannot yet support a margin. That warning travels with every figure on this tab.</t>
  </si>
  <si>
    <t xml:space="preserve">Ground ambulance cost. Source S30, RAND Corporation for CMS, GADCS Report: Year 1 and Year 2 Cohort Analysis, 19 Dec 2024. Verified 09 July 2026.</t>
  </si>
  <si>
    <t xml:space="preserve">Mean cost per transport, all-in</t>
  </si>
  <si>
    <t xml:space="preserve">VERIFIED. GADCS Table 6.1, mean total cost per transport, all NPIs, N=5,000.</t>
  </si>
  <si>
    <t xml:space="preserve">CORRECTED. GADCS Table 6.1 reports $1,788 for for-profit and unknown ownership. The widely circulated $1,778 is a transcription error in the secondary coverage.</t>
  </si>
  <si>
    <t xml:space="preserve">Mean cost per transport, governmental</t>
  </si>
  <si>
    <t xml:space="preserve">VERIFIED. GADCS Table 6.1, government-owned organizations.</t>
  </si>
  <si>
    <t xml:space="preserve">Governmental over private for-profit</t>
  </si>
  <si>
    <t xml:space="preserve">Labor share of aggregated total ground ambulance cost</t>
  </si>
  <si>
    <t xml:space="preserve">VERIFIED. GADCS Figure 5.1 and Table 5.1: labor is $18,869M of $27,183M in aggregated total ground ambulance costs. My earlier flag was wrong; this is a real GADCS cost-structure figure and NOT the 70% labor-related portion of the base payment used for geographic adjustment. Both numbers exist and they are different things.</t>
  </si>
  <si>
    <t xml:space="preserve">Labor share of cost, for-profit and unknown ownership</t>
  </si>
  <si>
    <t xml:space="preserve">VERIFIED, GADCS Table 5.1. Government-owned organizations run 73.6%. Ownership drives the cost structure.</t>
  </si>
  <si>
    <t xml:space="preserve">National hospital inpatient occupancy. Source S23, CMS HCRIS Form 2552-10 cost reports.</t>
  </si>
  <si>
    <t xml:space="preserve">Fiscal year</t>
  </si>
  <si>
    <t xml:space="preserve">Inpatient occupancy</t>
  </si>
  <si>
    <t xml:space="preserve">Filers</t>
  </si>
  <si>
    <t xml:space="preserve">Change vs prior year (pp)</t>
  </si>
  <si>
    <t xml:space="preserve">FY2020 to FY2022 change (pp)</t>
  </si>
  <si>
    <t xml:space="preserve">Tightest-census states, FY2022. The tightest transfer markets.</t>
  </si>
  <si>
    <t xml:space="preserve">Occupancy is a lagging throughput proxy, not a transfer count. When tertiary and step-down beds fill, ED boarding builds and capacity load-balancing transfers rise.</t>
  </si>
  <si>
    <t xml:space="preserve">Post-acute destination supply. Source S24, national certified provider counts.</t>
  </si>
  <si>
    <t xml:space="preserve">Destination setting</t>
  </si>
  <si>
    <t xml:space="preserve">Providers</t>
  </si>
  <si>
    <t xml:space="preserve">Share of post-acute inventory</t>
  </si>
  <si>
    <t xml:space="preserve">Skilled nursing facility (SNF)</t>
  </si>
  <si>
    <t xml:space="preserve">Home health agency (HHA)</t>
  </si>
  <si>
    <t xml:space="preserve">Hospice</t>
  </si>
  <si>
    <t xml:space="preserve">Inpatient rehabilitation facility (IRF)</t>
  </si>
  <si>
    <t xml:space="preserve">Long-term acute care hospital (LTACH)</t>
  </si>
  <si>
    <t xml:space="preserve">Total post-acute destinations</t>
  </si>
  <si>
    <t xml:space="preserve">US hospital admissions, all hospitals versus community hospitals. Sources S06 to S11.</t>
  </si>
  <si>
    <t xml:space="preserve">Survey year</t>
  </si>
  <si>
    <t xml:space="preserve">Non-community admissions</t>
  </si>
  <si>
    <t xml:space="preserve">YoY change, total</t>
  </si>
  <si>
    <t xml:space="preserve">Community share</t>
  </si>
  <si>
    <t xml:space="preserve">S05 / Fast Facts 2020</t>
  </si>
  <si>
    <t xml:space="preserve">Change 2018 to 2024, total</t>
  </si>
  <si>
    <t xml:space="preserve">CAGR 2018 to 2024, total</t>
  </si>
  <si>
    <t xml:space="preserve">Change 2018 to 2024, community</t>
  </si>
  <si>
    <t xml:space="preserve">CAGR 2018 to 2024, community</t>
  </si>
  <si>
    <t xml:space="preserve">Each figure is the total reported in that year's AHA Annual Survey, as published in the Fast Facts edition two years later. Community hospitals are nonfederal short-term general and other special hospitals open to the general public. Counts are not population-adjusted: per-capita admission rates fell further than the counts because US population grew.</t>
  </si>
  <si>
    <t xml:space="preserve">AHA restates history. The 2016 TrendWatch Chartbook puts 2007 community admissions at 35,345,986; the 2020 Chartbook restates the same year to 35,983,022, a 1.8% revision. The Acute_IFT_Series tab uses the 2020 vintage throughout so the series is internally consistent.</t>
  </si>
  <si>
    <t xml:space="preserve">Ground ambulance cost, full detail. Source S30, RAND for CMS, GADCS Year 1 and Year 2 Cohort Analysis, Dec 2024. Verified 09 July 2026.</t>
  </si>
  <si>
    <t xml:space="preserve">Mean</t>
  </si>
  <si>
    <t xml:space="preserve">Total cost per transport, all NPIs</t>
  </si>
  <si>
    <t xml:space="preserve">Table 6.1, N=5,000 weighted NPIs. The MEAN is nearly double the MEDIAN because thousands of very low-volume organizations carry very high unit costs.</t>
  </si>
  <si>
    <t xml:space="preserve">Total cost per response, all NPIs</t>
  </si>
  <si>
    <t xml:space="preserve">Table 6.1. A response may not end in a transport.</t>
  </si>
  <si>
    <t xml:space="preserve">Total cost per RVU, all NPIs</t>
  </si>
  <si>
    <t xml:space="preserve">Table 6.1. Compare against Medicare allowed per RVU on the hospital-to-hospital book: about $253 in 2024.</t>
  </si>
  <si>
    <t xml:space="preserve">Cost per transport, low Medicare volume</t>
  </si>
  <si>
    <t xml:space="preserve">Table 6.1. This decile is what drags the mean up.</t>
  </si>
  <si>
    <t xml:space="preserve">Cost per transport, very high Medicare volume</t>
  </si>
  <si>
    <t xml:space="preserve">Table 6.1. Scale is the whole story: a factor of 3.9 against the low-volume group.</t>
  </si>
  <si>
    <t xml:space="preserve">Cost per transport, suppliers</t>
  </si>
  <si>
    <t xml:space="preserve">Table 6.1.</t>
  </si>
  <si>
    <t xml:space="preserve">Cost per transport, providers (hospital-based)</t>
  </si>
  <si>
    <t xml:space="preserve">Table 6.1. Hospital-based providers report less than half the supplier cost per transport.</t>
  </si>
  <si>
    <t xml:space="preserve">Cost per transport, non-profit</t>
  </si>
  <si>
    <t xml:space="preserve">Cost per transport, for-profit / unknown</t>
  </si>
  <si>
    <t xml:space="preserve">Table 6.1. Median of $610 against a governmental median of $1,859.</t>
  </si>
  <si>
    <t xml:space="preserve">Cost per transport, government</t>
  </si>
  <si>
    <t xml:space="preserve">Cost per transport, urban</t>
  </si>
  <si>
    <t xml:space="preserve">Cost per transport, super rural</t>
  </si>
  <si>
    <t xml:space="preserve">Mean over median, cost per transport</t>
  </si>
  <si>
    <t xml:space="preserve">A skew of this size means the mean is not the typical operator. Quote the median for a scaled platform and the mean only for the industry aggregate.</t>
  </si>
  <si>
    <t xml:space="preserve">Government over for-profit, mean cost per transport</t>
  </si>
  <si>
    <t xml:space="preserve">1.749x, not the 1.759x the earlier $1,778 figure produced.</t>
  </si>
  <si>
    <t xml:space="preserve">Cost composition. GADCS Figure 5.1 and Table 5.1. Aggregated total ground ambulance cost is $27.2 billion.</t>
  </si>
  <si>
    <t xml:space="preserve">Cost category</t>
  </si>
  <si>
    <t xml:space="preserve">Share of total</t>
  </si>
  <si>
    <t xml:space="preserve">Dollars (millions)</t>
  </si>
  <si>
    <t xml:space="preserve">Labor</t>
  </si>
  <si>
    <t xml:space="preserve">The binding constraint. Government-owned 73.6%, for-profit 60.5%.</t>
  </si>
  <si>
    <t xml:space="preserve">Vehicles</t>
  </si>
  <si>
    <t xml:space="preserve">Equipment and supplies</t>
  </si>
  <si>
    <t xml:space="preserve">Reported in the figure; folded into 'other' in Table 5.1.</t>
  </si>
  <si>
    <t xml:space="preserve">Facilities</t>
  </si>
  <si>
    <t xml:space="preserve">Other costs</t>
  </si>
  <si>
    <t xml:space="preserve">Table 5.1 reports equipment and other combined at 17.0% and $4,622M.</t>
  </si>
  <si>
    <t xml:space="preserve">Rounding in the published figure.</t>
  </si>
  <si>
    <t xml:space="preserve">This replaces the excluded trade-benchmark cost split (vehicle 10-15%, RCM 3-6%, dispatch 2-4%, insurance 2-4%). Vehicles are 10.0% on the government data, at the bottom of the trade range.</t>
  </si>
  <si>
    <t xml:space="preserve">MedPAC June 2026 mandated report on ground ambulance. The authoritative source, published 15 June 2026.</t>
  </si>
  <si>
    <t xml:space="preserve">The question: what did the payment regulator conclude about the ground ambulance data it was ordered to assess? The mandated 2026 report, its tables, and its recommendation, carried directly.</t>
  </si>
  <si>
    <t xml:space="preserve">Panel A. Scale of the Medicare ground ambulance benefit, 2024.</t>
  </si>
  <si>
    <t xml:space="preserve">Ground ambulance suppliers and providers</t>
  </si>
  <si>
    <t xml:space="preserve">about 10,600</t>
  </si>
  <si>
    <t xml:space="preserve">MedPAC Ch.6. The GADCS four cohorts combined covered 10,581 organizations.</t>
  </si>
  <si>
    <t xml:space="preserve">Medicare FFS ambulance transports</t>
  </si>
  <si>
    <t xml:space="preserve">MedPAC Ch.6. Compare: carrier-billed claims in PSPS account for about 10.76M, or 95%. The residual is institutionally billed ambulance, which PSPS structurally excludes.</t>
  </si>
  <si>
    <t xml:space="preserve">Total Medicare payments for AFS-covered transports</t>
  </si>
  <si>
    <t xml:space="preserve">MedPAC Ch.6. Implies about $469 per transport. The claims give $415 per transport in program payments and $531 per transport in allowed charges, so MedPAC's measure sits between the two. Its exact scope is not stated.</t>
  </si>
  <si>
    <t xml:space="preserve">GADCS coverage of all ground ambulance organizations</t>
  </si>
  <si>
    <t xml:space="preserve">MedPAC Ch.6. Data for 2022 and 2023.</t>
  </si>
  <si>
    <t xml:space="preserve">MedPAC final analytic sample</t>
  </si>
  <si>
    <t xml:space="preserve">70% of the 10,581 organizations CMS sampled.</t>
  </si>
  <si>
    <t xml:space="preserve">Trimmed sample used for revenue-to-cost ratios</t>
  </si>
  <si>
    <t xml:space="preserve">After dropping the 5% largest positive and negative revenue-cost differences. 3,721 are government-owned.</t>
  </si>
  <si>
    <t xml:space="preserve">Population living in an ambulance desert (2021, study states)</t>
  </si>
  <si>
    <t xml:space="preserve">4.5 million people. Rural 9.3% against urban 3.5%. Cited by MedPAC from Jonk et al. 2023.</t>
  </si>
  <si>
    <t xml:space="preserve">Panel B. Cost per transport. MedPAC Table 6-6, pooled 2022 and 2023, deflated to 2022 dollars.</t>
  </si>
  <si>
    <t xml:space="preserve">Organization category</t>
  </si>
  <si>
    <t xml:space="preserve">Organizations</t>
  </si>
  <si>
    <t xml:space="preserve">Mean transports</t>
  </si>
  <si>
    <t xml:space="preserve">Average RVU of services</t>
  </si>
  <si>
    <t xml:space="preserve">Urban service area</t>
  </si>
  <si>
    <t xml:space="preserve">Rural service area</t>
  </si>
  <si>
    <t xml:space="preserve">Rural cost per transport is BELOW urban, once you look at it directly.</t>
  </si>
  <si>
    <t xml:space="preserve">Super-rural service area</t>
  </si>
  <si>
    <t xml:space="preserve">Super-rural is 24% above urban, but the driver is volume, not geography.</t>
  </si>
  <si>
    <t xml:space="preserve">For profit</t>
  </si>
  <si>
    <t xml:space="preserve">Lowest cost, highest volume, lowest service intensity.</t>
  </si>
  <si>
    <t xml:space="preserve">Nonprofit</t>
  </si>
  <si>
    <t xml:space="preserve">Government</t>
  </si>
  <si>
    <t xml:space="preserve">2.9 times the for-profit cost per transport.</t>
  </si>
  <si>
    <t xml:space="preserve">Static staffing model</t>
  </si>
  <si>
    <t xml:space="preserve">Same crew count at all times.</t>
  </si>
  <si>
    <t xml:space="preserve">Dynamic staffing model</t>
  </si>
  <si>
    <t xml:space="preserve">Unit count varies by day, time or season. 58% cheaper per transport than static.</t>
  </si>
  <si>
    <t xml:space="preserve">Hybrid staffing model</t>
  </si>
  <si>
    <t xml:space="preserve">Lowest quartile of transports</t>
  </si>
  <si>
    <t xml:space="preserve">148 transports a year. This is the group that drags every unweighted mean upward.</t>
  </si>
  <si>
    <t xml:space="preserve">Second quartile</t>
  </si>
  <si>
    <t xml:space="preserve">Third quartile</t>
  </si>
  <si>
    <t xml:space="preserve">Highest quartile</t>
  </si>
  <si>
    <t xml:space="preserve">Cost per transport is 68% below the lowest quartile while average RVU is only 5% lower. The gap is scale, not case mix.</t>
  </si>
  <si>
    <t xml:space="preserve">Cost per transport, 90th percentile</t>
  </si>
  <si>
    <t xml:space="preserve">Eleven times the 10th percentile value of $367. The distribution is extraordinarily wide.</t>
  </si>
  <si>
    <t xml:space="preserve">Cost per transport, 10th percentile</t>
  </si>
  <si>
    <t xml:space="preserve">Ratio, 90th to 10th percentile</t>
  </si>
  <si>
    <t xml:space="preserve">Government non-billing revenue per transport</t>
  </si>
  <si>
    <t xml:space="preserve">Local government funding. 30% of government organizations receive it. Nonprofit organizations get $32 and for-profit $12. Government cost per transport is not a market price.</t>
  </si>
  <si>
    <t xml:space="preserve">Cross-check against the claims-derived series on Medicare_IFT_Series.</t>
  </si>
  <si>
    <t xml:space="preserve">MedPAC, all Medicare ambulance</t>
  </si>
  <si>
    <t xml:space="preserve">This workbook, Medicare interfacility only</t>
  </si>
  <si>
    <t xml:space="preserve">Average RVU per transport</t>
  </si>
  <si>
    <t xml:space="preserve">1.44 to 1.74 by category, about 1.6 overall</t>
  </si>
  <si>
    <t xml:space="preserve">Interfacility transports are LESS intense than the average Medicare ambulance transport, not more. Independent of the acuity-mix evidence on Medicare_PSPS, and pointing the same way.</t>
  </si>
  <si>
    <t xml:space="preserve">Medicare payment per transport, 2024</t>
  </si>
  <si>
    <t xml:space="preserve">about $469 implied (11.3M transports, $5.3B)</t>
  </si>
  <si>
    <t xml:space="preserve">Interfacility allowed per transport is 41% above the all-ambulance average, because interfacility runs 33.6 loaded miles against a far shorter typical 911 run.</t>
  </si>
  <si>
    <t xml:space="preserve">Panel C. Revenue-to-cost ratios. MedPAC Tables 6-10 and 6-11, pooled 2022 and 2023.</t>
  </si>
  <si>
    <t xml:space="preserve">Group</t>
  </si>
  <si>
    <t xml:space="preserve">Median RCR, weighted by transports</t>
  </si>
  <si>
    <t xml:space="preserve">Median RCR, unweighted</t>
  </si>
  <si>
    <t xml:space="preserve">Only for-profit organizations clear 1.0 on both measures.</t>
  </si>
  <si>
    <t xml:space="preserve">25th percentile 0.34, 75th percentile 1.31. Enormous dispersion.</t>
  </si>
  <si>
    <t xml:space="preserve">Revenue is 23% below cost at the median low-volume organization.</t>
  </si>
  <si>
    <t xml:space="preserve">Economies of scale, stated by MedPAC in exactly those terms.</t>
  </si>
  <si>
    <t xml:space="preserve">MedPAC's own caveat, quoted in substance: these ratios must NOT be read as Medicare margins. Revenue includes sources beyond fee-for-service Medicare, and cost reflects ambulance services provided to all patients, not only Medicare beneficiaries. MedPAC further warns that reporting errors, especially among government-owned organizations (52% of whose reported revenue came from sources unrelated to ground ambulance billing), mean GADCS-based revenue-to-cost measures may not be reliable indicators of payment adequacy at this time.</t>
  </si>
  <si>
    <t xml:space="preserve">Panel D. What MedPAC recommends, and what it says about the fee schedule.</t>
  </si>
  <si>
    <t xml:space="preserve">RECOMMENDATION 6. The Congress should direct the Secretary to continue collecting cost and revenue data from suppliers and providers of ground ambulance services. Data collection should focus on information essential to assessing both the accuracy of Medicare payments and beneficiaries' access to care, and the Secretary should pursue opportunities to streamline collection to minimize burden.</t>
  </si>
  <si>
    <t xml:space="preserve">The Ambulance Fee Schedule is largely NOT based on cost or revenue data. It was established in 2002, predominantly through negotiated rulemaking.</t>
  </si>
  <si>
    <t xml:space="preserve">The RVUs used to adjust AFS payments for differences in service intensity have not changed since 2002.</t>
  </si>
  <si>
    <t xml:space="preserve">The adjustments for whether a transport occurred in an urban, rural or super-rural location have not changed since 2008.</t>
  </si>
  <si>
    <t xml:space="preserve">MedPAC found the strongest driver of cost per transport is transport volume. Controlling for volume and other factors, organizations with RURAL service areas had LOWER cost per transport than urban organizations.</t>
  </si>
  <si>
    <t xml:space="preserve">In 2013 MedPAC recommended replacing the permanent rural short-mileage add-on with a budget-neutral adjustment targeted at low-volume organizations in isolated areas. The current rural and super-rural add-ons pay more for all transports regardless of volume.</t>
  </si>
  <si>
    <t xml:space="preserve">Source S31. MedPAC, Report to the Congress: Medicare and the Health Care Delivery System, June 2026, Chapter 6. medpac.gov/wp-content/uploads/2026/06/Jun26_MedPAC_Report_To_Congress_SEC.pdf. Tables 6-6, 6-10, 6-11, and Recommendation 6.</t>
  </si>
  <si>
    <t xml:space="preserve">Why this matters for the RAND GADCS figures on Cost_and_Capacity. RAND reports an UNWEIGHTED mean cost per transport of $2,673 across NPIs. MedPAC, working the same data with a trimmed sample and CPI deflation, reports means by category that range from $563 (for profit) to $1,626 (government). Both are correct within their own definitions. The RAND mean is not an operator benchmark. Use MedPAC's category means, or RAND's median of $1,340.</t>
  </si>
  <si>
    <t xml:space="preserve">Cross-source reconciliation</t>
  </si>
  <si>
    <t xml:space="preserve">The question: why do four national sources give four different transport counts? Because they measure different units on different universes. This tab enumerates the wedge, driver by driver, so the spread is explained rather than averaged into a fifth wrong number.</t>
  </si>
  <si>
    <t xml:space="preserve">Recon 1. AHRQ prints two different numbers for data year 2023, in two different tables of the same document. Both are AHRQ. Resolved 09 July 2026 by opening the source PDFs.</t>
  </si>
  <si>
    <t xml:space="preserve">NEDS Weighted Summary Statistics (S01)</t>
  </si>
  <si>
    <t xml:space="preserve">NEDS Introduction 2023, Table A7 (S03)</t>
  </si>
  <si>
    <t xml:space="preserve">Difference</t>
  </si>
  <si>
    <t xml:space="preserve">Difference %</t>
  </si>
  <si>
    <t xml:space="preserve">Which this workbook uses</t>
  </si>
  <si>
    <t xml:space="preserve">ED transfers out to a short-term hospital (DISP_ED = 2), 2023</t>
  </si>
  <si>
    <t xml:space="preserve">Summary Statistics. It is the series used for every prior year, it is the only source with a full 2007 to 2023 run, and its DISP_ED and EDEVENT tables agree with each other to the unit.</t>
  </si>
  <si>
    <t xml:space="preserve">ED visits admitted to the same hospital (DISP_ED = 9), 2023</t>
  </si>
  <si>
    <t xml:space="preserve">Summary Statistics, 20,973,122. Confirmed independently by Table D3 of the SAME Introduction document, which also reports 20,973,122. Table A7 is the outlier.</t>
  </si>
  <si>
    <t xml:space="preserve">ED transfers out to a short-term hospital, 2022</t>
  </si>
  <si>
    <t xml:space="preserve">The two publications agree to the unit for 2022. The break is specific to 2023.</t>
  </si>
  <si>
    <t xml:space="preserve">ED visits admitted to the same hospital, 2022</t>
  </si>
  <si>
    <t xml:space="preserve">Agree to the unit.</t>
  </si>
  <si>
    <t xml:space="preserve">Arithmetic identity check. Table A7 categories plus destination-unknown must equal total ED visits.</t>
  </si>
  <si>
    <t xml:space="preserve">Treated and released</t>
  </si>
  <si>
    <t xml:space="preserve">S02 Table A6 / S03 Table A7</t>
  </si>
  <si>
    <t xml:space="preserve">Admitted to the same hospital</t>
  </si>
  <si>
    <t xml:space="preserve">same</t>
  </si>
  <si>
    <t xml:space="preserve">Transferred to another short-term hospital</t>
  </si>
  <si>
    <t xml:space="preserve">Died in the ED</t>
  </si>
  <si>
    <t xml:space="preserve">Destination unknown (DISP_ED = 98 + 99)</t>
  </si>
  <si>
    <t xml:space="preserve">Sum of components</t>
  </si>
  <si>
    <t xml:space="preserve">Published total ED visits</t>
  </si>
  <si>
    <t xml:space="preserve">S02 Table 1 / S03 Table A6</t>
  </si>
  <si>
    <t xml:space="preserve">Residual</t>
  </si>
  <si>
    <t xml:space="preserve">RESOLVED. The 2023 NEDS Introduction (published 14 Jan 2026) contains both numbers. Table A7 reports 21,049,219 admissions and 2,552,895 transfers. Table D3, in the same document, reports 20,973,122 admissions, matching the Weighted Summary Statistics exactly. In the Summary Statistics the DISP_ED and EDEVENT tables agree to the unit, and the nine DISP_ED categories sum to 142,193,558, the published total, exactly. Table A7's six categories also sum to 142,193,558 exactly. Its deltas against the Summary Statistics are +76,097 admitted, -74,478 treated and released, -1,484 transferred, -125 died, -10 unknown, which sum to precisely zero. Table A7 is therefore a REALLOCATION of about 76,000 visits into the admitted category, not a revision of the total. This workbook uses the Summary Statistics series throughout, because Table D3 corroborates it and because it is the only complete 2007 to 2023 run. The 1,484-visit gap on transfers is 0.058% and moves nothing.</t>
  </si>
  <si>
    <t xml:space="preserve">Recon 2. The two uploaded HCUP workbooks disagree on the NIS discharge denominator, 2008 to 2011 only.</t>
  </si>
  <si>
    <t xml:space="preserve">Audited workbook (NIS discharges)</t>
  </si>
  <si>
    <t xml:space="preserve">Earlier workbook (NIS discharges)</t>
  </si>
  <si>
    <t xml:space="preserve">Resolution</t>
  </si>
  <si>
    <t xml:space="preserve">The audited workbook wins. Its Read_Me records that four value rows were missed on the first extraction pass (code 99 in 2008, 2009 and 2011; code 21 in 2010). The transfer counts themselves were never affected, only the denominator. From 2012 the two agree exactly.</t>
  </si>
  <si>
    <t xml:space="preserve">Immaterial in practice: 2008 to 2011 are excluded from every trend statistic because they precede the 2012 NIS sample redesign.</t>
  </si>
  <si>
    <t xml:space="preserve">Recon 3. Three different objects, three different numbers. This is the largest error in the published IFT literature.</t>
  </si>
  <si>
    <t xml:space="preserve">Object</t>
  </si>
  <si>
    <t xml:space="preserve">Count</t>
  </si>
  <si>
    <t xml:space="preserve">Sending-side transfer episodes</t>
  </si>
  <si>
    <t xml:space="preserve">One patient movement, recorded once at the sending hospital, from the ED or from an inpatient bed, to another acute hospital.</t>
  </si>
  <si>
    <t xml:space="preserve">S01 + S04</t>
  </si>
  <si>
    <t xml:space="preserve">Receiving-side transfer admissions</t>
  </si>
  <si>
    <t xml:space="preserve">The same movement, recorded at the receiving hospital as an inpatient admission with Point of Origin = transfer from an acute hospital. Misses patients sent to psych, rehab or LTACH, treated and released, or placed in observation.</t>
  </si>
  <si>
    <t xml:space="preserve">Billable ambulance transports, hospital to hospital</t>
  </si>
  <si>
    <t xml:space="preserve">One billable ambulance leg. Includes return legs, transfers to psychiatric, rehabilitation and LTACH hospitals, and federal hospitals. Voluntary NEMSIS census, so it is a floor.</t>
  </si>
  <si>
    <t xml:space="preserve">All facility-to-facility ambulance transports</t>
  </si>
  <si>
    <t xml:space="preserve">The broadest defensible interfacility transport count. Excludes Other Routine Medical Transport (dialysis, appointments, return home).</t>
  </si>
  <si>
    <t xml:space="preserve">Medicare fee-for-service hospital-to-hospital transports</t>
  </si>
  <si>
    <t xml:space="preserve">Carrier-billed Medicare FFS ambulance base-rate claims with an HH origin-destination modifier.</t>
  </si>
  <si>
    <t xml:space="preserve">Derived ratio</t>
  </si>
  <si>
    <t xml:space="preserve">Caveat</t>
  </si>
  <si>
    <t xml:space="preserve">Transports per sending-side episode (NEMSIS 2024 H2H / HCUP 2023 episodes)</t>
  </si>
  <si>
    <t xml:space="preserve">Cross-year. Numerator includes psych, rehab and LTACH destinations that HCUP codes as DISP_ED = 5, plus return legs. Read as an upper bound on legs per episode.</t>
  </si>
  <si>
    <t xml:space="preserve">Medicare FFS share of national hospital-to-hospital transports, 2024</t>
  </si>
  <si>
    <t xml:space="preserve">A floor. Hospital-owned ambulance departments bill institutionally and never enter PSPS.</t>
  </si>
  <si>
    <t xml:space="preserve">Receiving-side conversion rate, 2022</t>
  </si>
  <si>
    <t xml:space="preserve">Of every 100 acute-to-acute transfers sent, roughly 75 become an inpatient admission at a NIS-universe hospital.</t>
  </si>
  <si>
    <t xml:space="preserve">Medicare FFS H2H transports as a share of sending-side episodes, same year (2022)</t>
  </si>
  <si>
    <t xml:space="preserve">Transports over episodes, so it overstates the Medicare episode share by roughly the legs-per-episode factor. Divide by that factor and the implied Medicare FFS episode share lands near 16%, which is consistent with Medicare FFS as a share of US inpatient admissions.</t>
  </si>
  <si>
    <t xml:space="preserve">Why 5.5 million transports and 3.2 million episodes are both correct</t>
  </si>
  <si>
    <t xml:space="preserve">Wedge driver 1. HCUP codes transfers to psychiatric, rehabilitation and LTACH hospitals as DISP_ED = 5 or DISPUNIFORM = 5, not = 2. NEMSIS calls all of them hospital to hospital.</t>
  </si>
  <si>
    <t xml:space="preserve">Wedge driver 2. Return legs. A patient sent out for a procedure and brought back generates two billable transports and, if the sending hospital never discharged them, zero HCUP transfer records.</t>
  </si>
  <si>
    <t xml:space="preserve">Wedge driver 3. Federal hospitals. VA, DoD and IHS are outside NEDS, NIS and the AHA community hospital universe. They are inside NEMSIS.</t>
  </si>
  <si>
    <t xml:space="preserve">Wedge driver 4. Independent freestanding EDs. Outside NEDS, inside NEMSIS.</t>
  </si>
  <si>
    <t xml:space="preserve">Wedge driver 5. Discharge-disposition under-coding. HCUP transfer flags are known to under-report.</t>
  </si>
  <si>
    <t xml:space="preserve">Wedge driver 6. NEMSIS counts unit activations. More than one unit can respond to one event, though this is rare for scheduled interfacility work.</t>
  </si>
  <si>
    <t xml:space="preserve">Recon 4. Four federal or industry sources measure 2022 US ED visits and disagree by 94%.</t>
  </si>
  <si>
    <t xml:space="preserve">2022 ED visits</t>
  </si>
  <si>
    <t xml:space="preserve">2023 ED visits</t>
  </si>
  <si>
    <t xml:space="preserve">Design</t>
  </si>
  <si>
    <t xml:space="preserve">NEDS (AHRQ)</t>
  </si>
  <si>
    <t xml:space="preserve">20% stratified sample of hospital-owned EDs, weighted to the AHA universe</t>
  </si>
  <si>
    <t xml:space="preserve">Weighted counts match AHA by construction</t>
  </si>
  <si>
    <t xml:space="preserve">AHA Annual Survey</t>
  </si>
  <si>
    <t xml:space="preserve">Hospital census, self-reported</t>
  </si>
  <si>
    <t xml:space="preserve">Used as the NEDS control total</t>
  </si>
  <si>
    <t xml:space="preserve">NHAMCS (NCHS)</t>
  </si>
  <si>
    <t xml:space="preserve">Multistage probability sample of visits</t>
  </si>
  <si>
    <t xml:space="preserve">Runs 13% above NEDS in 2022</t>
  </si>
  <si>
    <t xml:space="preserve">NHIS (NCHS)</t>
  </si>
  <si>
    <t xml:space="preserve">Household survey, self-reported visits</t>
  </si>
  <si>
    <t xml:space="preserve">Runs roughly 42% below NEDS. Recall bias and a 4+ visit top-code</t>
  </si>
  <si>
    <t xml:space="preserve">Spread, highest over lowest, 2022</t>
  </si>
  <si>
    <t xml:space="preserve">Calibrate expectations before criticizing any one source.</t>
  </si>
  <si>
    <t xml:space="preserve">Recon 5. Denominators that look interchangeable and are not.</t>
  </si>
  <si>
    <t xml:space="preserve">AHA community hospital admissions exclude newborns and include rehabilitation, LTACH and specialty hospitals.</t>
  </si>
  <si>
    <t xml:space="preserve">NIS total weighted discharges include newborns and exclude rehabilitation and LTACH.</t>
  </si>
  <si>
    <t xml:space="preserve">AHA admissions equal 1.07 times NIS ex-birth discharges in every year 2019 to 2023 (1.070, 1.086, 1.071, 1.073, 1.067).</t>
  </si>
  <si>
    <t xml:space="preserve">Federal hospitals (VA, DoD, IHS) are outside all three sources.</t>
  </si>
  <si>
    <t xml:space="preserve">Choosing AHA versus NIS-total versus NIS-ex-birth moves the 2022 IFT ratio by 1.05 percentage points on the sending side. Pick one, disclose it, do not mix.</t>
  </si>
  <si>
    <t xml:space="preserve">Recon 6. A correction inherited from the source workbooks, preserved here so it is not re-introduced.</t>
  </si>
  <si>
    <t xml:space="preserve">An earlier robustness test grossed the ED-observed transfer count up by the Albany Medical Center direct-admit bypass rate (10,111 of 44,809 inbound transfers, 22.6%). That was wrong. The Albany figure describes the RECEIVING side. A transfer that bypasses the receiving ED still originated at the sending hospital, in either its ED or an inpatient bed, and is therefore already captured by NEDS or NIS. The gross-up double counted. It happened to land at 9.51%, close to the 9.28% the correct sending-side build produces, which is coincidence and not confirmation. The gross-up is excluded from this workbook.</t>
  </si>
  <si>
    <t xml:space="preserve">Every other way to count an interfacility transport, tested or specified.</t>
  </si>
  <si>
    <t xml:space="preserve">The question: are there other ways to count an interfacility transport? Six routes: two already implemented in this workbook, one tested during construction and closed with the evidence shown, and three specified with access terms and cost. The tested-and-closed one matters most: it documents why the hospital-billed channel stays a known blind spot.</t>
  </si>
  <si>
    <t xml:space="preserve">1. Diagnosis-to-cause crosswalk (condition-level transfer rates)</t>
  </si>
  <si>
    <t xml:space="preserve">SPECIFIED, highest value. HCUPnet can cross ED and inpatient disposition against CCSR clinical categories free and without a DUA, but as POINT ESTIMATES ONLY; design-based standard errors require licensed microdata and the published AHRQ variance method: transfer propensity by condition (STEMI, stroke, ICH, trauma, GI bleed, sepsis, behavioral). This is the code-matches-cause crosswalk: it converts the flat transfer count into a clinical demand map and prices the acuity of the transfer book. The raw NEDS summary files in this workbook are univariate and cannot produce it; HCUPnet queries are the route. Pending item P1.</t>
  </si>
  <si>
    <t xml:space="preserve">2. Context diagnosis codes on claims (Z75.1, Z75.3)</t>
  </si>
  <si>
    <t xml:space="preserve">TESTED IN PRINCIPLE, weak as a counter. Z75.1 (awaiting admission elsewhere) and Z75.3 (facility unavailable) are real, billable FY2026 codes (S27) and valid FLAGS in microdata, but they are discretionary context codes with no completeness guarantee and no public frequency file; they cannot anchor a volume series. Verdict: use as enrichment flags inside purchased claims, never as a census.</t>
  </si>
  <si>
    <t xml:space="preserve">3. Institutional ambulance channel (hospital-billed)</t>
  </si>
  <si>
    <t xml:space="preserve">Tested and closed during construction (10 July 2026). The Medicare Outpatient Hospitals by Provider and Service PUF was probed on 10 July 2026: it is APC-level, the HCPCS filter is silently ignored (116,799 rows returned for every ambulance code queried), so hospital-billed ambulance volume is NOT publicly countable from it. The channel remains a documented undercount of PSPS-based totals (QN and QM modifier counts on Medicare_OD_Matrix are its faint carrier-side shadow). Real routes: HCRIS ambulance cost centers (partial, dollars not trips) or revenue-center 054x lines in research-file institutional claims (DUA).</t>
  </si>
  <si>
    <t xml:space="preserve">4. Receiving-side institutional codes</t>
  </si>
  <si>
    <t xml:space="preserve">IMPLEMENTED. UB-04 Point of Origin 4/5/6/F and HCUP TRAN_IN already carry the receiving side in this workbook (Receiving_Side, Code_Crosswalks); the sending and receiving ledgers reconcile on Cross_Source_Recon.</t>
  </si>
  <si>
    <t xml:space="preserve">5. IPPS acute-transfer payment mechanics</t>
  </si>
  <si>
    <t xml:space="preserve">SPECIFIED. Medicare pays a per-diem, not the full DRG, when discharge status 02 triggers the acute transfer policy: every such claim is a payment-verified transfer. Counting them requires MedPAR or IPPS claims (research files); no public PUF exposes discharge-status counts. Value: a third, payment-side national transfer count to triangulate HCUP and PSPS. Route: MedPAR RIF via ResDAC, or the LDS.</t>
  </si>
  <si>
    <t xml:space="preserve">6. EMS-side activation records</t>
  </si>
  <si>
    <t xml:space="preserve">SPECIFIED. The NEMSIS research dataset (free, request-based) carries the interfacility flag at activation level with times and unit level of care; the 2025 dataset exists and the 2025 public report lands about August 2026. The commercial complement for the MMT engagement is the internal Komodo panel, which prices the commercial book this public base deliberately excludes.</t>
  </si>
  <si>
    <t xml:space="preserve">Every code system that touches interfacility transport, in one place.</t>
  </si>
  <si>
    <t xml:space="preserve">The question: how is one transfer written down across five different record systems? The complete operational crosswalk: claims modifiers, procedure codes, institutional billing codes, hospital-data elements, EMS record values, provider taxonomies, and the diagnosis context codes. Joining any two sources in this workbook starts here.</t>
  </si>
  <si>
    <t xml:space="preserve">1. Ambulance origin and destination single-letter codes. CMS Pub. 100-04, Medicare Claims Processing Manual, Chapter 15, Section 30 (S56). First letter = origin, second = destination.</t>
  </si>
  <si>
    <t xml:space="preserve">Letter</t>
  </si>
  <si>
    <t xml:space="preserve">IFT relevance</t>
  </si>
  <si>
    <t xml:space="preserve">D</t>
  </si>
  <si>
    <t xml:space="preserve">Diagnostic or therapeutic site other than P or H when used as origin</t>
  </si>
  <si>
    <t xml:space="preserve">Out-and-back procedure legs</t>
  </si>
  <si>
    <t xml:space="preserve">E</t>
  </si>
  <si>
    <t xml:space="preserve">Residential, domiciliary, custodial facility (non-skilled, not a 1819 facility)</t>
  </si>
  <si>
    <t xml:space="preserve">Assisted-living channel</t>
  </si>
  <si>
    <t xml:space="preserve">G</t>
  </si>
  <si>
    <t xml:space="preserve">Hospital-based ESRD facility</t>
  </si>
  <si>
    <t xml:space="preserve">Dialysis channel (Dialysis_ESRD_Channel)</t>
  </si>
  <si>
    <t xml:space="preserve">H</t>
  </si>
  <si>
    <t xml:space="preserve">Hospital</t>
  </si>
  <si>
    <t xml:space="preserve">The H2H book; every hospital-touching pair</t>
  </si>
  <si>
    <t xml:space="preserve">I</t>
  </si>
  <si>
    <t xml:space="preserve">Site of transfer between modes of transport (e.g., airport, helicopter pad)</t>
  </si>
  <si>
    <t xml:space="preserve">Air interface; ground-air handoffs</t>
  </si>
  <si>
    <t xml:space="preserve">J</t>
  </si>
  <si>
    <t xml:space="preserve">Freestanding ESRD facility</t>
  </si>
  <si>
    <t xml:space="preserve">Dialysis channel</t>
  </si>
  <si>
    <t xml:space="preserve">N</t>
  </si>
  <si>
    <t xml:space="preserve">Skilled nursing facility (1819 facility)</t>
  </si>
  <si>
    <t xml:space="preserve">The largest facility interface: NH+HN 2.4M transports 2024</t>
  </si>
  <si>
    <t xml:space="preserve">P</t>
  </si>
  <si>
    <t xml:space="preserve">Physician office</t>
  </si>
  <si>
    <t xml:space="preserve">Clinic escalations</t>
  </si>
  <si>
    <t xml:space="preserve">R</t>
  </si>
  <si>
    <t xml:space="preserve">Residence</t>
  </si>
  <si>
    <t xml:space="preserve">Origin of the largest single pair (RH)</t>
  </si>
  <si>
    <t xml:space="preserve">S</t>
  </si>
  <si>
    <t xml:space="preserve">Scene of accident or acute event</t>
  </si>
  <si>
    <t xml:space="preserve">911 work; excluded from IFT</t>
  </si>
  <si>
    <t xml:space="preserve">X</t>
  </si>
  <si>
    <t xml:space="preserve">Intermediate stop at physician office en route to hospital (destination only)</t>
  </si>
  <si>
    <t xml:space="preserve">Rare; en-route physician stop</t>
  </si>
  <si>
    <t xml:space="preserve">2. Payment modifiers observed in the initial-modifier position (not O-D pairs). PSPS 2024 counts from Source S39; definitions per CMS HCPCS modifier list.</t>
  </si>
  <si>
    <t xml:space="preserve">QL patient pronounced dead after ambulance called (36,325 base services 2024); GW not related to hospice terminal condition (5,009); GY statutorily excluded (3,026); QN furnished directly by a provider of services (1,615); QM under arrangement by a provider (354); GV hospice attending physician (329); GM multiple patients one trip (109); U1 Medicaid state-defined (77). Restrict any O-D analysis to valid letter pairs; see Medicare_OD_Matrix Panel C.</t>
  </si>
  <si>
    <t xml:space="preserve">3. HCPCS ambulance code set. RVUs on Payment_Rules (S14).</t>
  </si>
  <si>
    <t xml:space="preserve">Description</t>
  </si>
  <si>
    <t xml:space="preserve">Family</t>
  </si>
  <si>
    <t xml:space="preserve">A0425</t>
  </si>
  <si>
    <t xml:space="preserve">Ground mileage, per statute mile</t>
  </si>
  <si>
    <t xml:space="preserve">Ground</t>
  </si>
  <si>
    <t xml:space="preserve">ALS, non-emergency (ALS1)</t>
  </si>
  <si>
    <t xml:space="preserve">ALS, emergency (ALS1-E)</t>
  </si>
  <si>
    <t xml:space="preserve">Paramedic ALS intercept, rural volunteer</t>
  </si>
  <si>
    <t xml:space="preserve">A0430</t>
  </si>
  <si>
    <t xml:space="preserve">Fixed-wing air transport</t>
  </si>
  <si>
    <t xml:space="preserve">Air</t>
  </si>
  <si>
    <t xml:space="preserve">A0431</t>
  </si>
  <si>
    <t xml:space="preserve">Rotary-wing air transport</t>
  </si>
  <si>
    <t xml:space="preserve">A0435</t>
  </si>
  <si>
    <t xml:space="preserve">Fixed-wing mileage, per statute mile</t>
  </si>
  <si>
    <t xml:space="preserve">A0436</t>
  </si>
  <si>
    <t xml:space="preserve">Rotary-wing mileage, per statute mile</t>
  </si>
  <si>
    <t xml:space="preserve">A0888</t>
  </si>
  <si>
    <t xml:space="preserve">Noncovered ambulance mileage (beyond closest appropriate facility)</t>
  </si>
  <si>
    <t xml:space="preserve">Edge</t>
  </si>
  <si>
    <t xml:space="preserve">A0998</t>
  </si>
  <si>
    <t xml:space="preserve">Ambulance response and treatment, no transport</t>
  </si>
  <si>
    <t xml:space="preserve">A0100-A0180, A0120-A0130</t>
  </si>
  <si>
    <t xml:space="preserve">Medicaid NEMT family: taxi, bus, mini-bus, wheelchair van, attendant, ancillary</t>
  </si>
  <si>
    <t xml:space="preserve">T2001-T2005, T2049</t>
  </si>
  <si>
    <t xml:space="preserve">Medicaid non-emergency transportation encounter and per-mile codes</t>
  </si>
  <si>
    <t xml:space="preserve">99466-99467</t>
  </si>
  <si>
    <t xml:space="preserve">CPT: pediatric critical care patient transport, physician face-to-face</t>
  </si>
  <si>
    <t xml:space="preserve">Physician</t>
  </si>
  <si>
    <t xml:space="preserve">99485-99486</t>
  </si>
  <si>
    <t xml:space="preserve">CPT: supervision of interfacility pediatric critical care transport</t>
  </si>
  <si>
    <t xml:space="preserve">4. UB-04 institutional claim codes: how the HOSPITAL writes the same transfer down. NUBC code sets as published in CMS manuals and ResDIC documentation (S57).</t>
  </si>
  <si>
    <t xml:space="preserve">Field</t>
  </si>
  <si>
    <t xml:space="preserve">Code</t>
  </si>
  <si>
    <t xml:space="preserve">Maps to</t>
  </si>
  <si>
    <t xml:space="preserve">Patient Discharge Status</t>
  </si>
  <si>
    <t xml:space="preserve">02</t>
  </si>
  <si>
    <t xml:space="preserve">Discharged/transferred to a short-term general hospital</t>
  </si>
  <si>
    <t xml:space="preserve">HCUP DISP_ED=2 / DISPUNIFORM=2; the sending-side acute-to-acute flag</t>
  </si>
  <si>
    <t xml:space="preserve">05</t>
  </si>
  <si>
    <t xml:space="preserve">Discharged/transferred to a designated cancer center or children's hospital</t>
  </si>
  <si>
    <t xml:space="preserve">Acute-to-acute in substance; coded outside 02</t>
  </si>
  <si>
    <t xml:space="preserve">43</t>
  </si>
  <si>
    <t xml:space="preserve">Discharged/transferred to a federal health care facility</t>
  </si>
  <si>
    <t xml:space="preserve">VA/DoD wedge driver (Cross_Source_Recon)</t>
  </si>
  <si>
    <t xml:space="preserve">62</t>
  </si>
  <si>
    <t xml:space="preserve">Discharged/transferred to an inpatient rehabilitation facility</t>
  </si>
  <si>
    <t xml:space="preserve">HCUP code 5 family</t>
  </si>
  <si>
    <t xml:space="preserve">63</t>
  </si>
  <si>
    <t xml:space="preserve">Discharged/transferred to a long-term care hospital</t>
  </si>
  <si>
    <t xml:space="preserve">65</t>
  </si>
  <si>
    <t xml:space="preserve">Discharged/transferred to a psychiatric hospital or unit</t>
  </si>
  <si>
    <t xml:space="preserve">66</t>
  </si>
  <si>
    <t xml:space="preserve">Discharged/transferred to a critical access hospital</t>
  </si>
  <si>
    <t xml:space="preserve">Acute-to-acute; separate code from 02</t>
  </si>
  <si>
    <t xml:space="preserve">82</t>
  </si>
  <si>
    <t xml:space="preserve">Transferred to short-term hospital with a planned acute readmission</t>
  </si>
  <si>
    <t xml:space="preserve">Post-2013 planned-readmit variant of 02</t>
  </si>
  <si>
    <t xml:space="preserve">Point of Origin</t>
  </si>
  <si>
    <t xml:space="preserve">Transfer from a hospital (different facility)</t>
  </si>
  <si>
    <t xml:space="preserve">NIS TRAN_IN=1; the receiving-side flag</t>
  </si>
  <si>
    <t xml:space="preserve">Transfer from a SNF, ICF, or ALF</t>
  </si>
  <si>
    <t xml:space="preserve">NIS TRAN_IN=2 family</t>
  </si>
  <si>
    <t xml:space="preserve">Transfer from another health care facility</t>
  </si>
  <si>
    <t xml:space="preserve">F</t>
  </si>
  <si>
    <t xml:space="preserve">Transfer from a hospice facility</t>
  </si>
  <si>
    <t xml:space="preserve">Rare inbound</t>
  </si>
  <si>
    <t xml:space="preserve">Codes 05, 43, 66 and 82 mean the HCUP DISP_ED=2 count is a FLOOR on acute-to-acute movements: transfers to cancer centers, federal hospitals, CAHs coded as 66, and planned-readmit transfers all sit outside code 02. This is wedge driver 5 on Cross_Source_Recon made specific.</t>
  </si>
  <si>
    <t xml:space="preserve">5. HCUP data elements as used in this workbook (S01, S04).</t>
  </si>
  <si>
    <t xml:space="preserve">NEDS DISP_ED: 2 = transfer to short-term hospital; 5 = transfer to other facility type; 9 = admitted to same hospital; 98/99 = destination unknown. NIS DISPUNIFORM: 2 and 5 mirror the above for inpatient discharges. NIS TRAN_IN: 1 = transferred in from an acute care hospital; 2 = from another facility type. TRAN_OUT: 1 equals DISPUNIFORM=2 in every year (a relabel, not independent evidence).</t>
  </si>
  <si>
    <t xml:space="preserve">6. NEMSIS eResponse.05 value sets (S12). Names as printed in the annual reports; numeric codes in the NEMSIS v3.5 data dictionary at nemsis.org.</t>
  </si>
  <si>
    <t xml:space="preserve">v3.4 (through 2023), 7 categories: 911 Response (Scene); Interfacility Transport; Medical Transport; Intercept; Mutual Aid; Standby; Public Assistance/Other. v3.5 (2024 on), 18 categories; the four facility-to-facility values are Hospital-to-Hospital Transfer; Hospital to Non-Hospital Facility Transfer; Non-Hospital Facility to Hospital Transfer; Non-Hospital Facility to Non-Hospital Facility Transfer. Other Routine Medical Transport is dialysis, appointments and return-home and is NOT interfacility. The two blocks are not one series (Data_Quality_Register #14).</t>
  </si>
  <si>
    <t xml:space="preserve">7. Provider identity: taxonomy, revenue codes, place of service. NUCC taxonomy set; NPPES queried live 10 July 2026 (S58).</t>
  </si>
  <si>
    <t xml:space="preserve">Validation</t>
  </si>
  <si>
    <t xml:space="preserve">341600000X</t>
  </si>
  <si>
    <t xml:space="preserve">Ambulance (parent taxonomy)</t>
  </si>
  <si>
    <t xml:space="preserve">LIVE: NPPES returns active organizations, e.g., NPI 1700930153, San Antonio TX</t>
  </si>
  <si>
    <t xml:space="preserve">3416L0300X</t>
  </si>
  <si>
    <t xml:space="preserve">Ambulance, Land Transport</t>
  </si>
  <si>
    <t xml:space="preserve">LIVE: e.g., NPI 1477814945, El Campo TX</t>
  </si>
  <si>
    <t xml:space="preserve">3416A0800X</t>
  </si>
  <si>
    <t xml:space="preserve">Ambulance, Air Transport</t>
  </si>
  <si>
    <t xml:space="preserve">NUCC list; not individually queried</t>
  </si>
  <si>
    <t xml:space="preserve">3416S0300X</t>
  </si>
  <si>
    <t xml:space="preserve">Ambulance, Water Transport</t>
  </si>
  <si>
    <t xml:space="preserve">Revenue codes 0540-0549</t>
  </si>
  <si>
    <t xml:space="preserve">Ambulance revenue center on institutional claims (0545 = air)</t>
  </si>
  <si>
    <t xml:space="preserve">NUBC set; the institutional-billing trail PSPS cannot see</t>
  </si>
  <si>
    <t xml:space="preserve">Place of service 41 / 42</t>
  </si>
  <si>
    <t xml:space="preserve">Ambulance, land / Ambulance, air or water on professional claims</t>
  </si>
  <si>
    <t xml:space="preserve">CMS POS code set</t>
  </si>
  <si>
    <t xml:space="preserve">8. ICD-10-CM context codes. FY2026 code set (NLM Clinical Tables, S27).</t>
  </si>
  <si>
    <t xml:space="preserve">Z75.1 Person awaiting admission to adequate facility elsewhere: the boarding diagnosis, chartable while an OP-18d clock runs. Z75.3 Unavailability and inaccessibility of health-care facilities: the access diagnosis behind travel-time transfers. The 92-code clinical spine on Clinical_Volumes_TierC was validated against the same set. Diagnosis codes justify medical necessity on the ambulance claim; they do not identify a transport as interfacility; the O-D modifier does.</t>
  </si>
  <si>
    <t xml:space="preserve">Every public dataset that measures a piece of interfacility transport, and how they join.</t>
  </si>
  <si>
    <t xml:space="preserve">The question: what would it take to answer the things this workbook cannot? Every relevant dataset with its unit of observation, how interfacility transport is identified in it, its join keys, access terms, current vintage, and what it uniquely adds. The two purchases and one free request that close the largest gaps are named at the bottom.</t>
  </si>
  <si>
    <t xml:space="preserve">Dataset</t>
  </si>
  <si>
    <t xml:space="preserve">IFT operationalization</t>
  </si>
  <si>
    <t xml:space="preserve">Join keys</t>
  </si>
  <si>
    <t xml:space="preserve">Access</t>
  </si>
  <si>
    <t xml:space="preserve">Latest vintage</t>
  </si>
  <si>
    <t xml:space="preserve">What it uniquely adds</t>
  </si>
  <si>
    <t xml:space="preserve">HCUP NEDS</t>
  </si>
  <si>
    <t xml:space="preserve">AHRQ</t>
  </si>
  <si>
    <t xml:space="preserve">ED visit (weighted sample)</t>
  </si>
  <si>
    <t xml:space="preserve">DISP_ED = 2 (to short-term hospital); = 5 (other facility)</t>
  </si>
  <si>
    <t xml:space="preserve">HCUP hospital ID (not CCN); year; no cross-year hospital link in public stats</t>
  </si>
  <si>
    <t xml:space="preserve">Summary stats free; microdata purchase + DUA</t>
  </si>
  <si>
    <t xml:space="preserve">2023 (break in series)</t>
  </si>
  <si>
    <t xml:space="preserve">The sending-side ED-origin level, 2007-2023</t>
  </si>
  <si>
    <t xml:space="preserve">HCUP NIS</t>
  </si>
  <si>
    <t xml:space="preserve">Inpatient discharge (weighted sample)</t>
  </si>
  <si>
    <t xml:space="preserve">DISPUNIFORM = 2/5 out; TRAN_IN = 1/2 in</t>
  </si>
  <si>
    <t xml:space="preserve">Same as NEDS</t>
  </si>
  <si>
    <t xml:space="preserve">Inpatient-origin sending side AND the independent receiving side</t>
  </si>
  <si>
    <t xml:space="preserve">HCUP KID</t>
  </si>
  <si>
    <t xml:space="preserve">Pediatric discharge, triennial</t>
  </si>
  <si>
    <t xml:space="preserve">Same elements as NIS</t>
  </si>
  <si>
    <t xml:space="preserve">Purchase + DUA</t>
  </si>
  <si>
    <t xml:space="preserve">2019 released; triennial</t>
  </si>
  <si>
    <t xml:space="preserve">The pediatric transfer cut no other national file gives</t>
  </si>
  <si>
    <t xml:space="preserve">HCUPnet</t>
  </si>
  <si>
    <t xml:space="preserve">Online query</t>
  </si>
  <si>
    <t xml:space="preserve">Same elements, WITH design-based standard errors</t>
  </si>
  <si>
    <t xml:space="preserve">Free, no DUA</t>
  </si>
  <si>
    <t xml:space="preserve">Follows NIS/NEDS</t>
  </si>
  <si>
    <t xml:space="preserve">Free point estimates by disposition and CCSR category; NO standard errors published. Design-based CIs require licensed microdata plus AHRQ Methods 2015_09 (strata, cluster, DISCWT). Corrected 10 Jul 2026 following independent external review</t>
  </si>
  <si>
    <t xml:space="preserve">State SID/SEDD</t>
  </si>
  <si>
    <t xml:space="preserve">AHRQ partners</t>
  </si>
  <si>
    <t xml:space="preserve">Discharge/visit, all-payer, state</t>
  </si>
  <si>
    <t xml:space="preserve">Same + hospital identifiers in many states</t>
  </si>
  <si>
    <t xml:space="preserve">State hospital ID, sometimes CCN</t>
  </si>
  <si>
    <t xml:space="preserve">Purchase per state</t>
  </si>
  <si>
    <t xml:space="preserve">Varies</t>
  </si>
  <si>
    <t xml:space="preserve">Hospital-pair transfer FLOWS: who sends to whom</t>
  </si>
  <si>
    <t xml:space="preserve">NEMSIS annual report</t>
  </si>
  <si>
    <t xml:space="preserve">NHTSA/UUtah</t>
  </si>
  <si>
    <t xml:space="preserve">EMS activation</t>
  </si>
  <si>
    <t xml:space="preserve">eResponse.05 facility-to-facility values</t>
  </si>
  <si>
    <t xml:space="preserve">None public (agency/state masked)</t>
  </si>
  <si>
    <t xml:space="preserve">Free PDF</t>
  </si>
  <si>
    <t xml:space="preserve">2024 report (2025 due ~Aug 2026)</t>
  </si>
  <si>
    <t xml:space="preserve">The transport-leg count and clinical mix</t>
  </si>
  <si>
    <t xml:space="preserve">NEMSIS research dataset</t>
  </si>
  <si>
    <t xml:space="preserve">Activation microdata</t>
  </si>
  <si>
    <t xml:space="preserve">Same, plus times, disposition, urbanicity</t>
  </si>
  <si>
    <t xml:space="preserve">De-identified; no receiving-hospital ID</t>
  </si>
  <si>
    <t xml:space="preserve">Free on request</t>
  </si>
  <si>
    <t xml:space="preserve">2025 dataset available</t>
  </si>
  <si>
    <t xml:space="preserve">Transport times, level of care, IFT-specific cuts (Miller and Richert used it)</t>
  </si>
  <si>
    <t xml:space="preserve">HCPCS x modifier x carrier cell</t>
  </si>
  <si>
    <t xml:space="preserve">Origin-destination modifier pairs (HH etc.)</t>
  </si>
  <si>
    <t xml:space="preserve">None (aggregated)</t>
  </si>
  <si>
    <t xml:space="preserve">Free API, data.cms.gov</t>
  </si>
  <si>
    <t xml:space="preserve">The only public O-D x acuity x dollars matrix; this workbook S13/S32/S39/S40</t>
  </si>
  <si>
    <t xml:space="preserve">Medicare MUP-PHY</t>
  </si>
  <si>
    <t xml:space="preserve">NPI x HCPCS year summary</t>
  </si>
  <si>
    <t xml:space="preserve">Ambulance HCPCS by supplier; NO O-D modifier</t>
  </si>
  <si>
    <t xml:space="preserve">NPI (joins NPPES, GADCS, PECOS)</t>
  </si>
  <si>
    <t xml:space="preserve">Free</t>
  </si>
  <si>
    <t xml:space="preserve">Supplier-level volumes and state cuts; cannot isolate IFT</t>
  </si>
  <si>
    <t xml:space="preserve">NPPES</t>
  </si>
  <si>
    <t xml:space="preserve">Provider record</t>
  </si>
  <si>
    <t xml:space="preserve">Taxonomy 3416xxxxx</t>
  </si>
  <si>
    <t xml:space="preserve">NPI; address</t>
  </si>
  <si>
    <t xml:space="preserve">Free API + full file</t>
  </si>
  <si>
    <t xml:space="preserve">The supplier census spine; validated live (S58)</t>
  </si>
  <si>
    <t xml:space="preserve">Provider of Services</t>
  </si>
  <si>
    <t xml:space="preserve">Certified facility</t>
  </si>
  <si>
    <t xml:space="preserve">n/a (destinations)</t>
  </si>
  <si>
    <t xml:space="preserve">CCN; joins HCRIS, Care Compare</t>
  </si>
  <si>
    <t xml:space="preserve">Free quarterly</t>
  </si>
  <si>
    <t xml:space="preserve">Hospital, SNF, ESRD facility universe = the O-D endpoints</t>
  </si>
  <si>
    <t xml:space="preserve">HCRIS 2552-10</t>
  </si>
  <si>
    <t xml:space="preserve">Hospital cost report</t>
  </si>
  <si>
    <t xml:space="preserve">Ambulance cost centers where operated</t>
  </si>
  <si>
    <t xml:space="preserve">CCN</t>
  </si>
  <si>
    <t xml:space="preserve">FY2023+</t>
  </si>
  <si>
    <t xml:space="preserve">Hospital-owned ambulance economics: the PSPS blind spot, partially</t>
  </si>
  <si>
    <t xml:space="preserve">CMS Timely &amp; Effective</t>
  </si>
  <si>
    <t xml:space="preserve">Hospital measure</t>
  </si>
  <si>
    <t xml:space="preserve">OP-18d median minutes to transfer</t>
  </si>
  <si>
    <t xml:space="preserve">Free API</t>
  </si>
  <si>
    <t xml:space="preserve">The only direct transfer-delay measurement (S33)</t>
  </si>
  <si>
    <t xml:space="preserve">GADCS / MedPAC Ch.6</t>
  </si>
  <si>
    <t xml:space="preserve">CMS/RAND/MedPAC</t>
  </si>
  <si>
    <t xml:space="preserve">Ambulance organization</t>
  </si>
  <si>
    <t xml:space="preserve">n/a (cost, revenue)</t>
  </si>
  <si>
    <t xml:space="preserve">NPI</t>
  </si>
  <si>
    <t xml:space="preserve">Published tables</t>
  </si>
  <si>
    <t xml:space="preserve">2022-23 data, Jun 2026 report</t>
  </si>
  <si>
    <t xml:space="preserve">Cost per transport by scale, ownership, staffing (S30, S31)</t>
  </si>
  <si>
    <t xml:space="preserve">AHA Fast Facts/Survey</t>
  </si>
  <si>
    <t xml:space="preserve">AHA</t>
  </si>
  <si>
    <t xml:space="preserve">n/a (denominator)</t>
  </si>
  <si>
    <t xml:space="preserve">AHA ID; crosswalk to CCN via survey</t>
  </si>
  <si>
    <t xml:space="preserve">Fast Facts free; survey paid</t>
  </si>
  <si>
    <t xml:space="preserve">The admissions denominator and system structure</t>
  </si>
  <si>
    <t xml:space="preserve">NHAMCS (ended)</t>
  </si>
  <si>
    <t xml:space="preserve">NCHS</t>
  </si>
  <si>
    <t xml:space="preserve">ED visit (probability sample)</t>
  </si>
  <si>
    <t xml:space="preserve">Mode of arrival = ambulance; disposition transfer</t>
  </si>
  <si>
    <t xml:space="preserve">None</t>
  </si>
  <si>
    <t xml:space="preserve">Free PUF</t>
  </si>
  <si>
    <t xml:space="preserve">2022 FINAL</t>
  </si>
  <si>
    <t xml:space="preserve">The frozen external ambulance-arrival anchor with SEs (S55)</t>
  </si>
  <si>
    <t xml:space="preserve">T-MSIS TAF</t>
  </si>
  <si>
    <t xml:space="preserve">Medicaid claim</t>
  </si>
  <si>
    <t xml:space="preserve">Ambulance HCPCS + modifiers; NEMT T-codes</t>
  </si>
  <si>
    <t xml:space="preserve">State + masked IDs</t>
  </si>
  <si>
    <t xml:space="preserve">Research DUA (ResDAC)</t>
  </si>
  <si>
    <t xml:space="preserve">Rolling</t>
  </si>
  <si>
    <t xml:space="preserve">The Medicaid transport book, incl. managed care encounters</t>
  </si>
  <si>
    <t xml:space="preserve">Transparency in Coverage MRFs</t>
  </si>
  <si>
    <t xml:space="preserve">Payers</t>
  </si>
  <si>
    <t xml:space="preserve">Negotiated rate</t>
  </si>
  <si>
    <t xml:space="preserve">A042x rates by NPI/TIN</t>
  </si>
  <si>
    <t xml:space="preserve">NPI, EIN</t>
  </si>
  <si>
    <t xml:space="preserve">Free, very large files</t>
  </si>
  <si>
    <t xml:space="preserve">Monthly</t>
  </si>
  <si>
    <t xml:space="preserve">The real commercial rate card the FAIR averages summarize</t>
  </si>
  <si>
    <t xml:space="preserve">Census NP2023</t>
  </si>
  <si>
    <t xml:space="preserve">Census Bureau</t>
  </si>
  <si>
    <t xml:space="preserve">Projection</t>
  </si>
  <si>
    <t xml:space="preserve">n/a (demand driver)</t>
  </si>
  <si>
    <t xml:space="preserve">The 65+ trajectory (S50)</t>
  </si>
  <si>
    <t xml:space="preserve">KFF MA enrollment</t>
  </si>
  <si>
    <t xml:space="preserve">KFF from CMS</t>
  </si>
  <si>
    <t xml:space="preserve">Enrollment</t>
  </si>
  <si>
    <t xml:space="preserve">n/a (payer mix)</t>
  </si>
  <si>
    <t xml:space="preserve">The FFS-window deflator (S51)</t>
  </si>
  <si>
    <t xml:space="preserve">Sheps closure tracker</t>
  </si>
  <si>
    <t xml:space="preserve">UNC Sheps</t>
  </si>
  <si>
    <t xml:space="preserve">Hospital closure event</t>
  </si>
  <si>
    <t xml:space="preserve">n/a (supply exit)</t>
  </si>
  <si>
    <t xml:space="preserve">Name/address; matchable to CCN</t>
  </si>
  <si>
    <t xml:space="preserve">The sending-side exit list (S52)</t>
  </si>
  <si>
    <t xml:space="preserve">Join spine. NPI joins NPPES, MUP-PHY, GADCS and PECOS. CCN joins POS, HCRIS, Care Compare and Timely &amp; Effective. AHA ID joins the survey to HCUP weighting (not public at hospital level: Data_Quality_Register #24). County FIPS joins everything geographic to Census. No public key links a NEMSIS activation to a hospital claim; that linkage exists only inside state EMS-HIE pilots.</t>
  </si>
  <si>
    <t xml:space="preserve">The two purchases that close the biggest gaps: (1) HCUPnet queries are free and add the missing standard errors; (2) one state SID/SEDD with hospital identifiers converts national levels into an actual sending-to-receiving flow matrix. The one request that costs only paperwork: the NEMSIS research dataset, which carries the IFT flag at the activation level.</t>
  </si>
  <si>
    <t xml:space="preserve">Everything that could be making this data wrong, in one table.</t>
  </si>
  <si>
    <t xml:space="preserve">The question: what could be making this data wrong? Every known bias, break, blind spot, definitional trap, and pending retrieval, in one table, with severity and the rule that contains it. The usage rule: a figure quoted from this workbook without its fault line attached is being misquoted.</t>
  </si>
  <si>
    <t xml:space="preserve">Layer</t>
  </si>
  <si>
    <t xml:space="preserve">Threat</t>
  </si>
  <si>
    <t xml:space="preserve">Severity</t>
  </si>
  <si>
    <t xml:space="preserve">Containment rule</t>
  </si>
  <si>
    <t xml:space="preserve">DQ26-28</t>
  </si>
  <si>
    <t xml:space="preserve">PSPS</t>
  </si>
  <si>
    <t xml:space="preserve">Fractional service counts; payment modifiers in the O-D position; field-prefix boundary at 2020</t>
  </si>
  <si>
    <t xml:space="preserve">Sum floats; valid letter-pairs only; prefix handled. All corrected and logged</t>
  </si>
  <si>
    <t xml:space="preserve">DQ29</t>
  </si>
  <si>
    <t xml:space="preserve">PSPS air</t>
  </si>
  <si>
    <t xml:space="preserve">Fixed-wing modifiers are airport-coded</t>
  </si>
  <si>
    <t xml:space="preserve">High for fixed-wing</t>
  </si>
  <si>
    <t xml:space="preserve">Rotary-only inference</t>
  </si>
  <si>
    <t xml:space="preserve">PSPS scope</t>
  </si>
  <si>
    <t xml:space="preserve">Carrier claims only: hospital-billed (institutional) ambulance is absent, and the public outpatient PUF CANNOT close it (tested 10 Jul 2026, APC-level, filter ignored)</t>
  </si>
  <si>
    <t xml:space="preserve">Medium, magnitude unknown</t>
  </si>
  <si>
    <t xml:space="preserve">Label every PSPS total supplier-billed; QN/QM counts as the shadow; research-file route named on IFT_Alt_Measures</t>
  </si>
  <si>
    <t xml:space="preserve">FFS only; the dark share is a majority by the mid-2020s</t>
  </si>
  <si>
    <t xml:space="preserve">Structural</t>
  </si>
  <si>
    <t xml:space="preserve">Divide by enrollment; carry the dark-share series; never quote raw trends as demand</t>
  </si>
  <si>
    <t xml:space="preserve">DQ32-34</t>
  </si>
  <si>
    <t xml:space="preserve">MUP</t>
  </si>
  <si>
    <t xml:space="preserve">Small-cell suppression; NPI is not a parent; approved vs submitted bases</t>
  </si>
  <si>
    <t xml:space="preserve">Medium</t>
  </si>
  <si>
    <t xml:space="preserve">Floors; corporate roll-up via PECOS; never mix bases</t>
  </si>
  <si>
    <t xml:space="preserve">Provider state is not beneficiary state; border leakage</t>
  </si>
  <si>
    <t xml:space="preserve">Medium at borders</t>
  </si>
  <si>
    <t xml:space="preserve">Rank levels, not fine gaps. Partially resolved (10 July 2026): the official by-Geography state column (S73) now sits beside the provider-state figures with the gap computed per state; national basis gap +1.0%.</t>
  </si>
  <si>
    <t xml:space="preserve">MSA_Landscape</t>
  </si>
  <si>
    <t xml:space="preserve">Principal-city mapping assigns only 22% of national volume; suburbs unmapped</t>
  </si>
  <si>
    <t xml:space="preserve">High for ranks below 10</t>
  </si>
  <si>
    <t xml:space="preserve">All metro figures labeled floors; full ZCTA crosswalk pending (P3)</t>
  </si>
  <si>
    <t xml:space="preserve">OEWS</t>
  </si>
  <si>
    <t xml:space="preserve">Excludes volunteers and self-employed; 2019 is a combined occupation, 2024 is split; hospital-employed EMS inside the count</t>
  </si>
  <si>
    <t xml:space="preserve">Like-for-like comparisons labeled; volunteer layer carried separately</t>
  </si>
  <si>
    <t xml:space="preserve">Occupancy</t>
  </si>
  <si>
    <t xml:space="preserve">Mandated HHS data shows minus 16% staffed beds; AHA voluntary surveys show minus 2%: the definitions of a staffed bed differ</t>
  </si>
  <si>
    <t xml:space="preserve">Cite the mandated series (S63) with the conflict printed; never blend the two</t>
  </si>
  <si>
    <t xml:space="preserve">Boarding measure</t>
  </si>
  <si>
    <t xml:space="preserve">OP-18 family sunsets at CY2028 reporting (CY2026 OPPS final rule); ECAT eCQM replaces it</t>
  </si>
  <si>
    <t xml:space="preserve">Low now, breaks the series later</t>
  </si>
  <si>
    <t xml:space="preserve">Sunset note carried; ECAT specifications pending (P12); final OP-18 vintages to be archived</t>
  </si>
  <si>
    <t xml:space="preserve">Deserts</t>
  </si>
  <si>
    <t xml:space="preserve">Nine states lack station data; 2021-22 licensure vintage; level not trend</t>
  </si>
  <si>
    <t xml:space="preserve">4.5M stated as an undercount; no trend claim; state table pending (P2)</t>
  </si>
  <si>
    <t xml:space="preserve">APOT</t>
  </si>
  <si>
    <t xml:space="preserve">CEMSIS participation incomplete; California only</t>
  </si>
  <si>
    <t xml:space="preserve">Floors; the only standardized public offload series; no national extrapolation</t>
  </si>
  <si>
    <t xml:space="preserve">H@H</t>
  </si>
  <si>
    <t xml:space="preserve">Program counts differ by source and date (366 AMA Mar 2026 vs 419 AHA Sep 2025)</t>
  </si>
  <si>
    <t xml:space="preserve">Both printed with dates; CMS QualityNet list is canonical at refresh</t>
  </si>
  <si>
    <t xml:space="preserve">K</t>
  </si>
  <si>
    <t xml:space="preserve">USRDS</t>
  </si>
  <si>
    <t xml:space="preserve">Two-year data lag; ESRD MA migration confounds every FFS dialysis series</t>
  </si>
  <si>
    <t xml:space="preserve">Three-force decomposition specified; exact prevalent counts pending (P5)</t>
  </si>
  <si>
    <t xml:space="preserve">DQ30-31</t>
  </si>
  <si>
    <t xml:space="preserve">Anchors</t>
  </si>
  <si>
    <t xml:space="preserve">NHAMCS frozen after 2022; Sheps vs Chartis closure conventions</t>
  </si>
  <si>
    <t xml:space="preserve">Anchor dated; one convention per citation</t>
  </si>
  <si>
    <t xml:space="preserve">DQ35</t>
  </si>
  <si>
    <t xml:space="preserve">Denominators</t>
  </si>
  <si>
    <t xml:space="preserve">Two FFS definitions a fifth apart</t>
  </si>
  <si>
    <t xml:space="preserve">A and B convention stated everywhere</t>
  </si>
  <si>
    <t xml:space="preserve">L</t>
  </si>
  <si>
    <t xml:space="preserve">Four bulk files (BLS OEWS archives, Census ZCTA relationship file, NASEMSO assessment, deserts chartbook PDF) are pending programmatic retrieval</t>
  </si>
  <si>
    <t xml:space="preserve">Process risk</t>
  </si>
  <si>
    <t xml:space="preserve">Every pending retrieval is named on the README pending register with its fallback; nothing silently substituted</t>
  </si>
  <si>
    <t xml:space="preserve">M</t>
  </si>
  <si>
    <t xml:space="preserve">NEMSIS</t>
  </si>
  <si>
    <t xml:space="preserve">Participation growth inflates raw activation trends; v3.4 to v3.5 category break</t>
  </si>
  <si>
    <t xml:space="preserve">High for trends</t>
  </si>
  <si>
    <t xml:space="preserve">Coverage-adjusted reads only; the two blocks never joined (DQ #14)</t>
  </si>
  <si>
    <t xml:space="preserve">Projections</t>
  </si>
  <si>
    <t xml:space="preserve">Census main series, CBO MA share, and the JAMA 2032 occupancy path are their authors' projections</t>
  </si>
  <si>
    <t xml:space="preserve">Definitional</t>
  </si>
  <si>
    <t xml:space="preserve">Always attributed as projections; never blended with measured series</t>
  </si>
  <si>
    <t xml:space="preserve">O</t>
  </si>
  <si>
    <t xml:space="preserve">Imbalance ratios</t>
  </si>
  <si>
    <t xml:space="preserve">Any demand-over-supply ratio inherits both parents' confounds</t>
  </si>
  <si>
    <t xml:space="preserve">Confound printed in the same row as the ratio; the per-capita offset always shown beside the tightening claims</t>
  </si>
  <si>
    <t xml:space="preserve">The 2012 NIS redesign is a series break inside the 2007-2023 span; AHRQ publishes Trend Weights to bridge it</t>
  </si>
  <si>
    <t xml:space="preserve">Any cross-2012 NIS trend must use Trend Weights or state the break; flagged from independent external review, 10 July 2026</t>
  </si>
  <si>
    <t xml:space="preserve">Q</t>
  </si>
  <si>
    <t xml:space="preserve">Occupancy series</t>
  </si>
  <si>
    <t xml:space="preserve">Mandated capacity reporting RESUMED 1 Nov 2024 into CDC NHSN (weekly, healthdata.gov API); the S63 series is not frozen after all</t>
  </si>
  <si>
    <t xml:space="preserve">Low, favorable</t>
  </si>
  <si>
    <t xml:space="preserve">The occupancy layer is refreshable; add the NHSN weekly series at next build (verify item P13)</t>
  </si>
  <si>
    <t xml:space="preserve">OP-18d vintage</t>
  </si>
  <si>
    <t xml:space="preserve">287 minutes (this book, Jul 2024-Jun 2025 file) against 289 minutes (Apr 2024-Mar 2025 vintage): the measure rolls quarterly</t>
  </si>
  <si>
    <t xml:space="preserve">Pin the collection window whenever OP-18d is quoted; the two figures are different windows, not an error</t>
  </si>
  <si>
    <t xml:space="preserve">T</t>
  </si>
  <si>
    <t xml:space="preserve">Usage rule. A threat on this table is not a reason to delete a series; it is the sentence that must travel with the series. Any figure quoted from this workbook without its Fault_Audit line attached is being misquoted.</t>
  </si>
  <si>
    <t xml:space="preserve">Data quality register</t>
  </si>
  <si>
    <t xml:space="preserve">The running register of data-quality items discovered during construction, numbered and carried forward. The consolidated view, including items found after this register was established, is Fault_Audit.</t>
  </si>
  <si>
    <t xml:space="preserve">Flag</t>
  </si>
  <si>
    <t xml:space="preserve">Evidence</t>
  </si>
  <si>
    <t xml:space="preserve">NEDS/NIS</t>
  </si>
  <si>
    <t xml:space="preserve">2012 NIS sample redesign</t>
  </si>
  <si>
    <t xml:space="preserve">The NIS moved from a hospital sample to a discharge sample in 2012. AHRQ publishes separate trend weights to bridge the two and those weights exist only in paid supplemental files.</t>
  </si>
  <si>
    <t xml:space="preserve">No inpatient-origin trend that crosses 2012. The comparable window starts in 2012.</t>
  </si>
  <si>
    <t xml:space="preserve">NEDS</t>
  </si>
  <si>
    <t xml:space="preserve">2023 break in series</t>
  </si>
  <si>
    <t xml:space="preserve">CA, NV and VT drop out of NEDS, OK is added, frame population coverage falls from 84.7% to 74.1% and frame share of AHA ED visits falls from 83.9% to 75.6%.</t>
  </si>
  <si>
    <t xml:space="preserve">2023 is a memo row. No 2022-to-2023 year-over-year change is clean.</t>
  </si>
  <si>
    <t xml:space="preserve">2015 ICD-9 to ICD-10 transition</t>
  </si>
  <si>
    <t xml:space="preserve">Destination unknown (DISP_ED = 98 + 99) spikes to 7.89% of visits in 2015, against 0.15% in 2014 and 0.16% in 2016.</t>
  </si>
  <si>
    <t xml:space="preserve">Never use 2015, and do not use the 2015-to-2016 year-over-year change.</t>
  </si>
  <si>
    <t xml:space="preserve">Early-year destination-unknown</t>
  </si>
  <si>
    <t xml:space="preserve">Destination unknown was 1.79% of visits in 2007 and fell to 0.11% by 2018. If those unknowns hid transfers, the early ratio is understated. Proportional redistribution moves 2007 from 3.85% to 3.92% and cuts the 15-year relative gain from 90.5% to 87.4%.</t>
  </si>
  <si>
    <t xml:space="preserve">The trend survives the adjustment. The level in the earliest years is a floor.</t>
  </si>
  <si>
    <t xml:space="preserve">NIS</t>
  </si>
  <si>
    <t xml:space="preserve">TRAN_IN derivation change, 2016 to 2017</t>
  </si>
  <si>
    <t xml:space="preserve">TRAN_IN = 2 jumps 61.5% and TRAN_IN = 1 jumps 10.9% in a single year. That is a change in AHRQ's Point of Origin derivation, not a change in patient flow.</t>
  </si>
  <si>
    <t xml:space="preserve">Never trend TRAN_IN across the 2016-to-2017 boundary.</t>
  </si>
  <si>
    <t xml:space="preserve">No published standard errors</t>
  </si>
  <si>
    <t xml:space="preserve">The weighted summary statistics PDFs publish no standard errors. NEDS clusters on EDs (roughly 990 of about 4,800 hospital-owned EDs) and transfer propensity is a hospital-level attribute, giving DISP_ED = 2 an unusually large design effect. NIS samples discharges within hospitals, so DISPUNIFORM = 2 carries a much smaller design effect.</t>
  </si>
  <si>
    <t xml:space="preserve">No confidence interval can be attached from these files. The inpatient-origin figure is more precisely estimated than the ED-origin figure. Query HCUPnet for design-based standard errors.</t>
  </si>
  <si>
    <t xml:space="preserve">Only univariate marginals are published</t>
  </si>
  <si>
    <t xml:space="preserve">The summary statistics publish one variable at a time. A marginal for DISP_ED and a marginal for PAY1 carry zero joint information.</t>
  </si>
  <si>
    <t xml:space="preserve">No transfers by payer, by age, by diagnosis, by hospital characteristic, or any other two-way cut. That requires HCUPnet, the microdata under a data use agreement, or CMS PSPS.</t>
  </si>
  <si>
    <t xml:space="preserve">No arrival-mode element</t>
  </si>
  <si>
    <t xml:space="preserve">The NEDS Core File data element list contains no arrival-mode variable.</t>
  </si>
  <si>
    <t xml:space="preserve">The EMS-arrival share of ED visits cannot be computed from NEDS. Anchor with NHAMCS or state SEDD files.</t>
  </si>
  <si>
    <t xml:space="preserve">2023 loses geography, race and charges</t>
  </si>
  <si>
    <t xml:space="preserve">The 2023 NEDS drops HOSP_REGION, drops race and ethnicity, and sets TOTCHG_ED to missing.</t>
  </si>
  <si>
    <t xml:space="preserve">Cross-checks that rely on region, race or charges must stop at data year 2022.</t>
  </si>
  <si>
    <t xml:space="preserve">Coverage expands over the window</t>
  </si>
  <si>
    <t xml:space="preserve">Participating states and territories go from 47 (2019) to 54 (2022 onward). Agencies go from 11,025 to 14,756.</t>
  </si>
  <si>
    <t xml:space="preserve">The 10.8% CAGR in total activations is part demand and part coverage. It is not EMS volume growth.</t>
  </si>
  <si>
    <t xml:space="preserve">2021 report reprints the 2020 overview box</t>
  </si>
  <si>
    <t xml:space="preserve">The 2021 report prints 43,488,767 activations, 50 states, 12,319 agencies and 19,533,036, identical to the 2020 report.</t>
  </si>
  <si>
    <t xml:space="preserve">Use the eResponse.05 table total (50,192,875) for 2021. The cover figure is unusable.</t>
  </si>
  <si>
    <t xml:space="preserve">Cover total does not tie to the eResponse.05 table</t>
  </si>
  <si>
    <t xml:space="preserve">2019: 36,119,969 vs 36,119,261. 2020: 43,488,767 vs 44,798,443. 2022: 53,179,492 vs 53,572,097. 2023: 54,190,579 vs 46,040,873. Only 2024 ties exactly.</t>
  </si>
  <si>
    <t xml:space="preserve">The 2023 gap is 8.1M records. This workbook uses the table total throughout.</t>
  </si>
  <si>
    <t xml:space="preserve">2023 transport denominator is understated</t>
  </si>
  <si>
    <t xml:space="preserve">EMS transports to a hospital ED as a share of NEDS ED visits falls from 17.5% (2022) to 14.7% (2023) with no change in participating states, while NEDS ED visits rose 3.8%.</t>
  </si>
  <si>
    <t xml:space="preserve">Independent confirmation that the break is inside NEMSIS. Never read the 2023 dip as a market event.</t>
  </si>
  <si>
    <t xml:space="preserve">Type of service value set expands in 2024</t>
  </si>
  <si>
    <t xml:space="preserve">Seven v3.4 categories become 18 v3.5 categories. 911 Response (Scene) becomes three separate emergency-response codes.</t>
  </si>
  <si>
    <t xml:space="preserve">The v3.4 and v3.5 blocks are not one series. Use the rollup to bridge 2023 to 2024.</t>
  </si>
  <si>
    <t xml:space="preserve">Level of care changes source element in 2024</t>
  </si>
  <si>
    <t xml:space="preserve">eResponse.15 (unit capability) through 2023, eDisposition.32 (level of care actually provided) in 2024. The denominator falls from 36,367,261 to 31,271,777.</t>
  </si>
  <si>
    <t xml:space="preserve">The apparent fall in ALS-Paramedic share from 75.1% to 59.6% is an element change, not a staffing change. Level of care is excluded from this workbook.</t>
  </si>
  <si>
    <t xml:space="preserve">Disposition changes source element in 2024</t>
  </si>
  <si>
    <t xml:space="preserve">eDisposition.12 (incident/patient disposition) through 2023, eDisposition.29 (crew disposition) in 2024. The total moves from 36.4M to 57.6M.</t>
  </si>
  <si>
    <t xml:space="preserve">The two blocks answer different questions. Never chain them. Disposition is excluded from this workbook.</t>
  </si>
  <si>
    <t xml:space="preserve">2023 level-of-care tail values are 2022 values with labels swapped</t>
  </si>
  <si>
    <t xml:space="preserve">ALS-Nurse and ALS-Community Paramedicine counts are transposed between the 2022 and 2023 reports (25,543 and 22,174).</t>
  </si>
  <si>
    <t xml:space="preserve">Those two 2023 rows are unusable.</t>
  </si>
  <si>
    <t xml:space="preserve">2022 patient age chart is a copy of 2021</t>
  </si>
  <si>
    <t xml:space="preserve">The 2022 age distribution is byte-identical to 2021 and contradicts the 2022 Typical Patient box.</t>
  </si>
  <si>
    <t xml:space="preserve">The 2021-to-2023 age shift is unmeasurable. Age is excluded from this workbook.</t>
  </si>
  <si>
    <t xml:space="preserve">Top-N lists are truncated</t>
  </si>
  <si>
    <t xml:space="preserve">Clinical exhibits print only the top 20. A category can leave the list without its count falling.</t>
  </si>
  <si>
    <t xml:space="preserve">A blank never means zero. Never compute a growth rate across a blank.</t>
  </si>
  <si>
    <t xml:space="preserve">No frame, no weights</t>
  </si>
  <si>
    <t xml:space="preserve">NEMSIS is a voluntary submission census. There is no enumerated universe of EMS activations and no discharge weight.</t>
  </si>
  <si>
    <t xml:space="preserve">No national inference and no standard error is licensed. Use NEMSIS for mix and direction, NEDS for levels.</t>
  </si>
  <si>
    <t xml:space="preserve">2024 blood Organizational Type table is corrupted</t>
  </si>
  <si>
    <t xml:space="preserve">Rows include Other Routine Medical Transport and Hospital to Non-Hospital Facility Transfer as organizational types. Components sum to 24,448 against a printed total of 25,803.</t>
  </si>
  <si>
    <t xml:space="preserve">Excluded from this workbook entirely.</t>
  </si>
  <si>
    <t xml:space="preserve">Carrier claims only</t>
  </si>
  <si>
    <t xml:space="preserve">Hospital-owned ambulance departments bill institutionally and never enter PSPS. Medicare fee-for-service only, a shrinking share as Medicare Advantage grows. Denied service counts are suppressed.</t>
  </si>
  <si>
    <t xml:space="preserve">PSPS volumes are a floor on the Medicare book and say nothing directly about commercial or Medicare Advantage volume.</t>
  </si>
  <si>
    <t xml:space="preserve">AHA restates history</t>
  </si>
  <si>
    <t xml:space="preserve">The 2016 TrendWatch Chartbook puts 2007 community admissions at 35,345,986. The 2020 Chartbook restates it to 35,983,022, a 1.8% revision.</t>
  </si>
  <si>
    <t xml:space="preserve">Never mix vintages inside one series. This workbook uses the 2020 vintage for 2007 to 2018 and Fast Facts for 2019 onward.</t>
  </si>
  <si>
    <t xml:space="preserve">AHRQ weighting</t>
  </si>
  <si>
    <t xml:space="preserve">Not externally reproducible</t>
  </si>
  <si>
    <t xml:space="preserve">AHRQ discharge weights are calibrated to the AHA Annual Survey, which is not public at the hospital level.</t>
  </si>
  <si>
    <t xml:space="preserve">No external party can reproduce the weighted totals from public data. The counts are taken on AHRQ's authority.</t>
  </si>
  <si>
    <t xml:space="preserve">HCUP</t>
  </si>
  <si>
    <t xml:space="preserve">Transfer flags under-report</t>
  </si>
  <si>
    <t xml:space="preserve">Discharge status coding is known to under-report transfers. Medicare post-acute transfer payment policy creates an incentive to code transfers to post-acute settings correctly and little incentive elsewhere.</t>
  </si>
  <si>
    <t xml:space="preserve">Sending-side episode counts are a floor, not a ceiling.</t>
  </si>
  <si>
    <t xml:space="preserve">Service counts are fractional</t>
  </si>
  <si>
    <t xml:space="preserve">PSPS_SUBMITTED_SERVICE_CNT carries decimal values on a handful of rows (8 in the 2024 HH base set). Integer-truncating pipelines undercount by single digits.</t>
  </si>
  <si>
    <t xml:space="preserve">Sum floats; round only at presentation. Explains every few-unit gap between revision 1 and revision 2 counts.</t>
  </si>
  <si>
    <t xml:space="preserve">Initial-modifier field carries payment modifiers</t>
  </si>
  <si>
    <t xml:space="preserve">QL, GW, GY, QN, QM, GV, GM, U1 occupy the O-D position on 47,144 base services in 2024 (0.44%).</t>
  </si>
  <si>
    <t xml:space="preserve">Restrict O-D analysis to valid letter pairs (both characters in D,E,G,H,I,J,N,P,R,S,X). Never treat the initial-modifier universe as an O-D census.</t>
  </si>
  <si>
    <t xml:space="preserve">Field-name prefix boundary is 2020</t>
  </si>
  <si>
    <t xml:space="preserve">The PSPS_ prefix on amount and count fields begins with data year 2020. An earlier note saying pre-2021 was off by one year.</t>
  </si>
  <si>
    <t xml:space="preserve">Use unprefixed names for 2010-2019 only. Corrected in Verification_Log Panel F.</t>
  </si>
  <si>
    <t xml:space="preserve">CMS PSPS air</t>
  </si>
  <si>
    <t xml:space="preserve">Fixed-wing O-D modifiers are airport-coded</t>
  </si>
  <si>
    <t xml:space="preserve">Modifier II (transfer point to transfer point) is 94.6% of fixed-wing base services in 2024.</t>
  </si>
  <si>
    <t xml:space="preserve">Fixed-wing facility endpoints are unresolvable from claims modifiers. Interfacility inference is rotary-only.</t>
  </si>
  <si>
    <t xml:space="preserve">NHAMCS</t>
  </si>
  <si>
    <t xml:space="preserve">Survey discontinued after 2022</t>
  </si>
  <si>
    <t xml:space="preserve">NCHS ended NHAMCS with the 2022 vintage; the successor National Hospital Care Survey is not yet an equivalent public product.</t>
  </si>
  <si>
    <t xml:space="preserve">The 17.0% ambulance-arrival anchor is frozen. Future NEMSIS coverage checks lose their external benchmark.</t>
  </si>
  <si>
    <t xml:space="preserve">Closure trackers</t>
  </si>
  <si>
    <t xml:space="preserve">Sheps and Chartis conventions differ</t>
  </si>
  <si>
    <t xml:space="preserve">Sheps counts 154 closures and conversions since 2010 (REH conversions excluded); Chartis counts 182 under a broader convention.</t>
  </si>
  <si>
    <t xml:space="preserve">Cite one tracker and its convention. Never average or mix the two counts.</t>
  </si>
  <si>
    <t xml:space="preserve">MUP-PHY</t>
  </si>
  <si>
    <t xml:space="preserve">Small-cell suppression</t>
  </si>
  <si>
    <t xml:space="preserve">NPI-code rows with 10 or fewer beneficiaries are dropped, so supplier counts and volumes are floors and the small-biller tail is invisible.</t>
  </si>
  <si>
    <t xml:space="preserve">State every supplier count as a floor. Never compute market totals from MUP; use PSPS for totals.</t>
  </si>
  <si>
    <t xml:space="preserve">NPI is not a parent company</t>
  </si>
  <si>
    <t xml:space="preserve">Consolidators bill through many subsidiary NPIs with distinct enrolled names.</t>
  </si>
  <si>
    <t xml:space="preserve">Top-N NPI concentration is a floor on corporate concentration. Corporate shares require the PECOS ownership and reassignment graph.</t>
  </si>
  <si>
    <t xml:space="preserve">MUP-PHY vs PSPS</t>
  </si>
  <si>
    <t xml:space="preserve">Different service bases</t>
  </si>
  <si>
    <t xml:space="preserve">MUP counts final-action approved services; PSPS counts submitted services including denied lines. 2024 ground: 9.54M against 10.64M.</t>
  </si>
  <si>
    <t xml:space="preserve">Never mix the two bases in one series. Label every count with its basis.</t>
  </si>
  <si>
    <t xml:space="preserve">Enrollment denominators</t>
  </si>
  <si>
    <t xml:space="preserve">Two FFS definitions</t>
  </si>
  <si>
    <t xml:space="preserve">A and B Original Medicare (27.7M, 2024) against any-part Original Medicare (33.9M). Per-1,000 rates differ by a fifth depending on the choice.</t>
  </si>
  <si>
    <t xml:space="preserve">This workbook uses A and B FFS, the population that generates carrier ambulance claims. State the convention wherever a rate is quoted.</t>
  </si>
  <si>
    <t xml:space="preserve">Clinical demand volumes. Tier C. Publisher class named, document not pinned.</t>
  </si>
  <si>
    <t xml:space="preserve">The question: which clinical volumes are real but not yet transport-grade evidence? Condition-level figures validated against the current diagnosis code set and held at a lower tier until they can be tied to transfer counts. Kept separate so they never contaminate the verified layers.</t>
  </si>
  <si>
    <t xml:space="preserve">Condition</t>
  </si>
  <si>
    <t xml:space="preserve">Transfer family</t>
  </si>
  <si>
    <t xml:space="preserve">National volume per year</t>
  </si>
  <si>
    <t xml:space="preserve">Measure as stated</t>
  </si>
  <si>
    <t xml:space="preserve">Basis label in source</t>
  </si>
  <si>
    <t xml:space="preserve">ICD-10-CM codes (validated)</t>
  </si>
  <si>
    <t xml:space="preserve">Locator needed before citing</t>
  </si>
  <si>
    <t xml:space="preserve">Severe sepsis / septic shock</t>
  </si>
  <si>
    <t xml:space="preserve">Escalation</t>
  </si>
  <si>
    <t xml:space="preserve">up</t>
  </si>
  <si>
    <t xml:space="preserve">adults developing sepsis per year</t>
  </si>
  <si>
    <t xml:space="preserve">GOV</t>
  </si>
  <si>
    <t xml:space="preserve">A419, R6520, R6521</t>
  </si>
  <si>
    <t xml:space="preserve">CDC sepsis surveillance, specify year</t>
  </si>
  <si>
    <t xml:space="preserve">Acute respiratory failure / ARDS</t>
  </si>
  <si>
    <t xml:space="preserve">hospitalizations with an acute respiratory failure diagnosis</t>
  </si>
  <si>
    <t xml:space="preserve">J9600, J9601, J9621, J80</t>
  </si>
  <si>
    <t xml:space="preserve">Peer-reviewed article, specify</t>
  </si>
  <si>
    <t xml:space="preserve">Cardiogenic shock / complex cardiac</t>
  </si>
  <si>
    <t xml:space="preserve">heart-failure inpatient stays (parent pool)</t>
  </si>
  <si>
    <t xml:space="preserve">R570, I5021, I219</t>
  </si>
  <si>
    <t xml:space="preserve">AHRQ HCUP HCUPnet, specify year and DRG set</t>
  </si>
  <si>
    <t xml:space="preserve">Pneumonia (escalating)</t>
  </si>
  <si>
    <t xml:space="preserve">pneumonia inpatient stays</t>
  </si>
  <si>
    <t xml:space="preserve">J189, J13, J15212, J159</t>
  </si>
  <si>
    <t xml:space="preserve">AHRQ HCUP HCUPnet, specify year</t>
  </si>
  <si>
    <t xml:space="preserve">Acute MI / chest pain</t>
  </si>
  <si>
    <t xml:space="preserve">acute-MI inpatient stays (principal diagnosis)</t>
  </si>
  <si>
    <t xml:space="preserve">I219, I2102, I21A1, I214</t>
  </si>
  <si>
    <t xml:space="preserve">COPD exacerbation</t>
  </si>
  <si>
    <t xml:space="preserve">COPD and bronchiectasis inpatient stays</t>
  </si>
  <si>
    <t xml:space="preserve">J440, J441, J449</t>
  </si>
  <si>
    <t xml:space="preserve">Ischemic stroke</t>
  </si>
  <si>
    <t xml:space="preserve">cerebral-infarction inpatient stays</t>
  </si>
  <si>
    <t xml:space="preserve">I639, I6350, I63512, I63411</t>
  </si>
  <si>
    <t xml:space="preserve">GI hemorrhage</t>
  </si>
  <si>
    <t xml:space="preserve">GI-bleed hospital admissions per year</t>
  </si>
  <si>
    <t xml:space="preserve">K922, K254, K264, I8501</t>
  </si>
  <si>
    <t xml:space="preserve">Hip fracture (acute ortho-trauma)</t>
  </si>
  <si>
    <t xml:space="preserve">hip-fracture hospitalizations per year, age 65+</t>
  </si>
  <si>
    <t xml:space="preserve">S72001A, S72011A, S72141A</t>
  </si>
  <si>
    <t xml:space="preserve">CDC or AHRQ, specify year</t>
  </si>
  <si>
    <t xml:space="preserve">DKA / endocrine crisis</t>
  </si>
  <si>
    <t xml:space="preserve">DKA hospitalizations per year</t>
  </si>
  <si>
    <t xml:space="preserve">E1010, E1110, E871</t>
  </si>
  <si>
    <t xml:space="preserve">CDC diabetes surveillance, specify year</t>
  </si>
  <si>
    <t xml:space="preserve">Major trauma / polytrauma</t>
  </si>
  <si>
    <t xml:space="preserve">nonfatal TBI-related hospitalizations</t>
  </si>
  <si>
    <t xml:space="preserve">S065X0A, S270XXA, S72001A, T07XXXA</t>
  </si>
  <si>
    <t xml:space="preserve">CDC TBI surveillance, specify year. Note the measure is TBI, not all polytrauma.</t>
  </si>
  <si>
    <t xml:space="preserve">Status epilepticus</t>
  </si>
  <si>
    <t xml:space="preserve">status epilepticus episodes per year (estimate)</t>
  </si>
  <si>
    <t xml:space="preserve">G40911, G40901, G40919</t>
  </si>
  <si>
    <t xml:space="preserve">Hemorrhagic stroke (ICH / SAH)</t>
  </si>
  <si>
    <t xml:space="preserve">hemorrhagic-stroke cases per year</t>
  </si>
  <si>
    <t xml:space="preserve">I619, I609</t>
  </si>
  <si>
    <t xml:space="preserve">CDC or AHA statistical update, specify year</t>
  </si>
  <si>
    <t xml:space="preserve">Aortic emergency (dissection / rupture)</t>
  </si>
  <si>
    <t xml:space="preserve">acute aortic dissection cases per year, modeled from about 4 per 100,000</t>
  </si>
  <si>
    <t xml:space="preserve">I71010, I7102, I7113</t>
  </si>
  <si>
    <t xml:space="preserve">Incidence-rate paper. The 13,000 is itself a model, not a count.</t>
  </si>
  <si>
    <t xml:space="preserve">Behavioral-health crisis</t>
  </si>
  <si>
    <t xml:space="preserve">mental-health-related ED visits per year</t>
  </si>
  <si>
    <t xml:space="preserve">F29, F319, F329, F10239</t>
  </si>
  <si>
    <t xml:space="preserve">CDC or AHRQ, specify year. This is an ED visit count, not a transfer count.</t>
  </si>
  <si>
    <t xml:space="preserve">High-risk pregnancy / obstetric emergency</t>
  </si>
  <si>
    <t xml:space="preserve">US births per year</t>
  </si>
  <si>
    <t xml:space="preserve">O1490, O721, O6014X0</t>
  </si>
  <si>
    <t xml:space="preserve">NCHS births report, specify year. This is all births, not high-risk transfers.</t>
  </si>
  <si>
    <t xml:space="preserve">Neonatal deterioration</t>
  </si>
  <si>
    <t xml:space="preserve">preterm births per year (10.38% of 3,667,758)</t>
  </si>
  <si>
    <t xml:space="preserve">P0730, P220, P369</t>
  </si>
  <si>
    <t xml:space="preserve">NCHS births report, specify year.</t>
  </si>
  <si>
    <t xml:space="preserve">Pediatric acute deterioration</t>
  </si>
  <si>
    <t xml:space="preserve">PICU admissions per year (estimate)</t>
  </si>
  <si>
    <t xml:space="preserve">J210, J050, R569, E1010</t>
  </si>
  <si>
    <t xml:space="preserve">Estimate, source not named.</t>
  </si>
  <si>
    <t xml:space="preserve">Med-surg discharge to SNF / home health</t>
  </si>
  <si>
    <t xml:space="preserve">Step-down</t>
  </si>
  <si>
    <t xml:space="preserve">down</t>
  </si>
  <si>
    <t xml:space="preserve">Medicare-covered SNF stays per year</t>
  </si>
  <si>
    <t xml:space="preserve">Z4789, Z5189</t>
  </si>
  <si>
    <t xml:space="preserve">MedPAC or CMS, specify year</t>
  </si>
  <si>
    <t xml:space="preserve">End-stage / comfort transition to hospice</t>
  </si>
  <si>
    <t xml:space="preserve">Medicare hospice enrollees per year</t>
  </si>
  <si>
    <t xml:space="preserve">Z515</t>
  </si>
  <si>
    <t xml:space="preserve">Post-stroke recovery to IRF</t>
  </si>
  <si>
    <t xml:space="preserve">IRF stays per year</t>
  </si>
  <si>
    <t xml:space="preserve">I69351, I69320, Z5189</t>
  </si>
  <si>
    <t xml:space="preserve">MedPAC, specify year</t>
  </si>
  <si>
    <t xml:space="preserve">Post-ventilator recovery to LTACH</t>
  </si>
  <si>
    <t xml:space="preserve">Medicare LTCH cases per year (about 90-100k across about 320 LTCHs)</t>
  </si>
  <si>
    <t xml:space="preserve">Z9911, J9600, J9611</t>
  </si>
  <si>
    <t xml:space="preserve">ED interfacility up-transfer to acute care</t>
  </si>
  <si>
    <t xml:space="preserve">Direct-admit</t>
  </si>
  <si>
    <t xml:space="preserve">ED encounters transferred to another short-term acute hospital per year</t>
  </si>
  <si>
    <t xml:space="preserve">I219, A419, I639</t>
  </si>
  <si>
    <t xml:space="preserve">Superseded. The Acute_IFT_Series tab carries the exact AHRQ figure by year (2,554,379 in 2023).</t>
  </si>
  <si>
    <t xml:space="preserve">ICD-10 coding integrity check</t>
  </si>
  <si>
    <t xml:space="preserve">ICD-10-CM codes validated as real and billable</t>
  </si>
  <si>
    <t xml:space="preserve">Source S27, validated against the NLM Clinical Tables ICD-10-CM code set.</t>
  </si>
  <si>
    <t xml:space="preserve">Codes unmatched</t>
  </si>
  <si>
    <t xml:space="preserve">A coding-integrity check, not a market figure. It confirms the medical-necessity narrative rests on real codes. It does not validate any volume above.</t>
  </si>
  <si>
    <t xml:space="preserve">Why these are Tier C. The volumes are plausible and several are almost certainly correct, but none carries a document, table or data year in the source workbook. Several also measure something adjacent to what the row label implies (6,000,000 behavioral-health ED visits is not 6,000,000 behavioral-health transfers; 3,667,758 is all US births, not high-risk pregnancy transfers). Never put these in an investor deliverable without pinning the locator.</t>
  </si>
  <si>
    <t xml:space="preserve">Removed from this tab: the demographic growth CAGR attached to every row, the 10-year growth index, the volume-weighted escalation CAGR of 2.15%, and the 5-year projection of 21,075,422. All were labeled ILLUSTRATIVE in the source.</t>
  </si>
  <si>
    <t xml:space="preserve">Excluded: every value dropped from the source workbooks, and why</t>
  </si>
  <si>
    <t xml:space="preserve">The quarantine. Every figure from prior work that failed the sourcing rule, kept visible with the reason it failed. Nothing here may be cited; several items have since been replaced by published evidence, and those replacements are noted.</t>
  </si>
  <si>
    <t xml:space="preserve">Figure as stated in the source</t>
  </si>
  <si>
    <t xml:space="preserve">Source label</t>
  </si>
  <si>
    <t xml:space="preserve">Why it is excluded</t>
  </si>
  <si>
    <t xml:space="preserve">What would make it citable</t>
  </si>
  <si>
    <t xml:space="preserve">US ground IFT TAM, all-payer</t>
  </si>
  <si>
    <t xml:space="preserve">$6.5B central ($5.0-8.0B)</t>
  </si>
  <si>
    <t xml:space="preserve">ILLUSTRATIVE</t>
  </si>
  <si>
    <t xml:space="preserve">A roughly 5x all-payer gross-up of a modeled 30-40% interfacility share of a modeled 85-88% ground share of a $4.0B MedPAC anchor. Three assumed ratios stacked on one government number.</t>
  </si>
  <si>
    <t xml:space="preserve">Line-level Part B ambulance HCPCS by origin-destination modifier (the PSPS tab is the start of this) plus an all-payer claims panel.</t>
  </si>
  <si>
    <t xml:space="preserve">Medicare FFS ground ambulance spend</t>
  </si>
  <si>
    <t xml:space="preserve">$3.40-3.52B</t>
  </si>
  <si>
    <t xml:space="preserve">The 85-88% ground share of ambulance dollars is assumed, not filed.</t>
  </si>
  <si>
    <t xml:space="preserve">CMS ambulance spend split by ground and air HCPCS.</t>
  </si>
  <si>
    <t xml:space="preserve">Medicare FFS ground IFT slice</t>
  </si>
  <si>
    <t xml:space="preserve">$1.02-1.41B</t>
  </si>
  <si>
    <t xml:space="preserve">The 30-40% interfacility share of ground dollars is assumed. The source calls this the figure most directly anchored to government data, which is exactly the problem.</t>
  </si>
  <si>
    <t xml:space="preserve">Allowed charges from PSPS crossed with the origin-destination modifier.</t>
  </si>
  <si>
    <t xml:space="preserve">SAM, multi-hospital health systems (top-down)</t>
  </si>
  <si>
    <t xml:space="preserve">$2.9B</t>
  </si>
  <si>
    <t xml:space="preserve">TAM times a 60% multi-system share times a 75% addressable share. Both shares assumed.</t>
  </si>
  <si>
    <t xml:space="preserve">Health-system transport contract data.</t>
  </si>
  <si>
    <t xml:space="preserve">SAM, bottoms-up structure</t>
  </si>
  <si>
    <t xml:space="preserve">$1.2B</t>
  </si>
  <si>
    <t xml:space="preserve">Footprint SAM dollars per bed scaled to the national multi-system bed base. Explicitly described as an offline proxy.</t>
  </si>
  <si>
    <t xml:space="preserve">Claims or contract data.</t>
  </si>
  <si>
    <t xml:space="preserve">SAM, triangulated</t>
  </si>
  <si>
    <t xml:space="preserve">$1.9B central ($1.2-4.6B)</t>
  </si>
  <si>
    <t xml:space="preserve">A geometric blend of two modeled numbers is still modeled.</t>
  </si>
  <si>
    <t xml:space="preserve">See rows 4 and 5.</t>
  </si>
  <si>
    <t xml:space="preserve">SOM, 20-metro operator footprint</t>
  </si>
  <si>
    <t xml:space="preserve">$92.1M ($47-148M)</t>
  </si>
  <si>
    <t xml:space="preserve">Sourced facility structure multiplied by three assumed levers (f_IFT, s(m), r_IFT).</t>
  </si>
  <si>
    <t xml:space="preserve">Operator revenue by metro.</t>
  </si>
  <si>
    <t xml:space="preserve">SAM over SOM headroom multiple</t>
  </si>
  <si>
    <t xml:space="preserve">20.2x</t>
  </si>
  <si>
    <t xml:space="preserve">A ratio of two modeled dollars.</t>
  </si>
  <si>
    <t xml:space="preserve">See rows 6 and 7.</t>
  </si>
  <si>
    <t xml:space="preserve">Operator current share of SAM</t>
  </si>
  <si>
    <t xml:space="preserve">about 1%</t>
  </si>
  <si>
    <t xml:space="preserve">Described in the source as the framing, not a measurement.</t>
  </si>
  <si>
    <t xml:space="preserve">Operator revenue over a measured SAM.</t>
  </si>
  <si>
    <t xml:space="preserve">Composite price growth</t>
  </si>
  <si>
    <t xml:space="preserve">+3.1%/yr (+2.5 to +3.8%)</t>
  </si>
  <si>
    <t xml:space="preserve">A 55/45 government/commercial pay-mix blend of the government AIF and a modeled commercial rate. The AIF itself is retained on the Payment_Rules tab.</t>
  </si>
  <si>
    <t xml:space="preserve">A payer-mix-weighted realized rate series.</t>
  </si>
  <si>
    <t xml:space="preserve">Composite volume growth</t>
  </si>
  <si>
    <t xml:space="preserve">+3.0%/yr (+2.1 to +3.9%)</t>
  </si>
  <si>
    <t xml:space="preserve">A demographic CAGR with incidence held constant, plus a modeled non-demographic intensity uplift.</t>
  </si>
  <si>
    <t xml:space="preserve">The Acute_IFT_Series tab carries the measured volume CAGR: +0.86%/yr on total acute-to-acute episodes, 2012 to 2023.</t>
  </si>
  <si>
    <t xml:space="preserve">Organic market growth</t>
  </si>
  <si>
    <t xml:space="preserve">+6.2%/yr</t>
  </si>
  <si>
    <t xml:space="preserve">The product of rows 10 and 11.</t>
  </si>
  <si>
    <t xml:space="preserve">See row 11. The measured episode CAGR is an order of magnitude lower than the modeled composite.</t>
  </si>
  <si>
    <t xml:space="preserve">Platform growth with consolidation</t>
  </si>
  <si>
    <t xml:space="preserve">+7.2%/yr</t>
  </si>
  <si>
    <t xml:space="preserve">Row 12 plus an assumed +1.0pp/yr share shift.</t>
  </si>
  <si>
    <t xml:space="preserve">Contract win rates.</t>
  </si>
  <si>
    <t xml:space="preserve">Annual share-of-wallet shift</t>
  </si>
  <si>
    <t xml:space="preserve">+0.5 to +2.0pp/yr</t>
  </si>
  <si>
    <t xml:space="preserve">Assumed magnitude.</t>
  </si>
  <si>
    <t xml:space="preserve">Contract data.</t>
  </si>
  <si>
    <t xml:space="preserve">High-acuity share of the IFT book (CCT/SCT and behavioral)</t>
  </si>
  <si>
    <t xml:space="preserve">56.4%</t>
  </si>
  <si>
    <t xml:space="preserve">Government volumes multiplied by authored transport-acuity tiers. The only hard acuity evidence available, CMS PSPS, points the opposite way: Specialty Care Transport is 6.6% of Medicare hospital-to-hospital transports in 2024, non-emergency BLS is 38.8%, and the volume-weighted RVU of the book is 1.45. See Medicare_PSPS Panel C.</t>
  </si>
  <si>
    <t xml:space="preserve">All-payer acuity mix by HCPCS for interfacility origin-destination pairs.</t>
  </si>
  <si>
    <t xml:space="preserve">Payer mix (Medicare/MA 52%, commercial 28%, Medicaid 12%, self-pay 8%)</t>
  </si>
  <si>
    <t xml:space="preserve">52/28/12/8</t>
  </si>
  <si>
    <t xml:space="preserve">Explicitly labeled modeled in the source.</t>
  </si>
  <si>
    <t xml:space="preserve">Operator remittance data or an all-payer claims database.</t>
  </si>
  <si>
    <t xml:space="preserve">Blended net revenue per IFT transport</t>
  </si>
  <si>
    <t xml:space="preserve">$1,200-1,400</t>
  </si>
  <si>
    <t xml:space="preserve">Assumed. Note the government cost figure on the Cost_and_Capacity tab is $2,673 mean cost per transport, which sits above this modeled revenue.</t>
  </si>
  <si>
    <t xml:space="preserve">Operator revenue per transport.</t>
  </si>
  <si>
    <t xml:space="preserve">Ambulance Fee Schedule conversion factor</t>
  </si>
  <si>
    <t xml:space="preserve">$278.00</t>
  </si>
  <si>
    <t xml:space="preserve">Reused from a prior model. The actual conversion factor ships in the CMS AFS public-use file.</t>
  </si>
  <si>
    <t xml:space="preserve">The CMS Ambulance Fee Schedule public-use file for the year in question.</t>
  </si>
  <si>
    <t xml:space="preserve">Worked base-rate dollars by HCPCS</t>
  </si>
  <si>
    <t xml:space="preserve">$278 to $903.50</t>
  </si>
  <si>
    <t xml:space="preserve">RVU times the assumed conversion factor. The RVUs themselves are retained on the Payment_Rules tab.</t>
  </si>
  <si>
    <t xml:space="preserve">See row 18.</t>
  </si>
  <si>
    <t xml:space="preserve">Commercial out-of-network leverage</t>
  </si>
  <si>
    <t xml:space="preserve">about 2-4x Medicare</t>
  </si>
  <si>
    <t xml:space="preserve">Assumed multiple. The underlying statutory fact, that ground ambulance is excluded from the No Surprises Act, is retained on the Payment_Rules tab.</t>
  </si>
  <si>
    <t xml:space="preserve">Negotiated commercial rate data.</t>
  </si>
  <si>
    <t xml:space="preserve">Health-system insource ceiling</t>
  </si>
  <si>
    <t xml:space="preserve">25%</t>
  </si>
  <si>
    <t xml:space="preserve">Assumed.</t>
  </si>
  <si>
    <t xml:space="preserve">Health-system operating data.</t>
  </si>
  <si>
    <t xml:space="preserve">Multi-hospital-system share of IFT dollars</t>
  </si>
  <si>
    <t xml:space="preserve">50-70% (central 60%)</t>
  </si>
  <si>
    <t xml:space="preserve">Assumed. The underlying AHA statistic (about 68% of community hospitals sit in a system) is a different quantity.</t>
  </si>
  <si>
    <t xml:space="preserve">Cost split below crew labor (vehicle 10-15%, RCM 3-6%, dispatch 2-4%, insurance 2-4%)</t>
  </si>
  <si>
    <t xml:space="preserve">various</t>
  </si>
  <si>
    <t xml:space="preserve">Trade benchmark, not filed. The crew labor share of 69-70% is government (GADCS) and is retained.</t>
  </si>
  <si>
    <t xml:space="preserve">GADCS cost-composition detail.</t>
  </si>
  <si>
    <t xml:space="preserve">Moat scorecard and per-metro moat scores</t>
  </si>
  <si>
    <t xml:space="preserve">120 scored cells</t>
  </si>
  <si>
    <t xml:space="preserve">Authored scores.</t>
  </si>
  <si>
    <t xml:space="preserve">Not a data problem. This is a judgment framework and should be labeled as one.</t>
  </si>
  <si>
    <t xml:space="preserve">Transport deal history: median realized MOIC 2.8x, median entry EV/EBITDA 9.0x</t>
  </si>
  <si>
    <t xml:space="preserve">n = 3</t>
  </si>
  <si>
    <t xml:space="preserve">SOURCED (private corpus)</t>
  </si>
  <si>
    <t xml:space="preserve">Three deals, 2018-2019, from a private corpus. Not externally verifiable and not a benchmark at n = 3.</t>
  </si>
  <si>
    <t xml:space="preserve">A larger, disclosed comparable set.</t>
  </si>
  <si>
    <t xml:space="preserve">Direct-admit gross-up of the ED transfer count</t>
  </si>
  <si>
    <t xml:space="preserve">22.6% (Albany Medical Center)</t>
  </si>
  <si>
    <t xml:space="preserve">ACADEMIC, misapplied</t>
  </si>
  <si>
    <t xml:space="preserve">The source workbook already corrected this. The Albany bypass rate describes the receiving side; a transfer that bypasses the receiving ED is still captured at the sending hospital. The gross-up double counted.</t>
  </si>
  <si>
    <t xml:space="preserve">Nothing. It is a category error, not a sourcing gap.</t>
  </si>
  <si>
    <t xml:space="preserve">Acute-to-acute transfer rate of about 1.5% of Medicare inpatients, about 3.5% all-payer, about 1.5M admissions per year</t>
  </si>
  <si>
    <t xml:space="preserve">1.5M</t>
  </si>
  <si>
    <t xml:space="preserve">ACADEMIC, unpinned</t>
  </si>
  <si>
    <t xml:space="preserve">Contradicted by the measured data in this workbook: AHRQ counts 2,929,273 sending-side acute-to-acute episodes in 2022, 9.28% of AHA community hospital admissions, and 2,205,490 receiving-side transfer admissions. The 1.5M figure appears to be stale or Medicare-only.</t>
  </si>
  <si>
    <t xml:space="preserve">Pin the citation, then reconcile against Acute_IFT_Series.</t>
  </si>
  <si>
    <t xml:space="preserve">Hospital LOS rose 24% for post-acute discharges, 2019 to 2022</t>
  </si>
  <si>
    <t xml:space="preserve">+24%</t>
  </si>
  <si>
    <t xml:space="preserve">INDUSTRY (AHA)</t>
  </si>
  <si>
    <t xml:space="preserve">Publisher named, document not pinned.</t>
  </si>
  <si>
    <t xml:space="preserve">The specific AHA publication and table.</t>
  </si>
  <si>
    <t xml:space="preserve">ED boarding roughly doubles daily cost of care ($1,856 vs $993 per day, acute stroke)</t>
  </si>
  <si>
    <t xml:space="preserve">2x</t>
  </si>
  <si>
    <t xml:space="preserve">Publisher class named, article not pinned.</t>
  </si>
  <si>
    <t xml:space="preserve">The specific article.</t>
  </si>
  <si>
    <t xml:space="preserve">Demographic CAGRs by age band (65-74 +3.2%, 75-84 +4.8%, 85+ +4.5%)</t>
  </si>
  <si>
    <t xml:space="preserve">Labeled ILLUSTRATIVE in the growth-lever detail even though described elsewhere as Census-anchored. The underlying Census projection would qualify; the values as carried do not.</t>
  </si>
  <si>
    <t xml:space="preserve">Census population projections, specific table and vintage.</t>
  </si>
  <si>
    <t xml:space="preserve">The consequence, stated plainly. Strip the modeled layer and there is no dollar-denominated TAM, SAM or SOM in this workbook. What survives is a measured volume market: roughly 2.9 to 3.2 million acute-to-acute transfer episodes a year, 5.5 million hospital-to-hospital ambulance transports, 7.5 million facility-to-facility transports, a government cost benchmark of $2,673 per transport, and a fee schedule. Sizing the market in dollars requires either the CMS PSPS allowed-charge fields or an all-payer claims panel. Neither is in these five files.</t>
  </si>
</sst>
</file>

<file path=xl/styles.xml><?xml version="1.0" encoding="utf-8"?>
<styleSheet xmlns="http://schemas.openxmlformats.org/spreadsheetml/2006/main">
  <numFmts count="27">
    <numFmt numFmtId="164" formatCode="General"/>
    <numFmt numFmtId="165" formatCode="\$#,##0"/>
    <numFmt numFmtId="166" formatCode="#,##0;\(#,##0\);\-"/>
    <numFmt numFmtId="167" formatCode="\$#,##0.00"/>
    <numFmt numFmtId="168" formatCode="0.0%;\(0.0%\);\-"/>
    <numFmt numFmtId="169" formatCode="#,##0"/>
    <numFmt numFmtId="170" formatCode="0.0%"/>
    <numFmt numFmtId="171" formatCode="0.00%;\(0.00%\);\-"/>
    <numFmt numFmtId="172" formatCode="0.00"/>
    <numFmt numFmtId="173" formatCode="\$#,##0;&quot;($&quot;#,##0\);\-"/>
    <numFmt numFmtId="174" formatCode="#,##0.0"/>
    <numFmt numFmtId="175" formatCode="0.000"/>
    <numFmt numFmtId="176" formatCode="0.0\x"/>
    <numFmt numFmtId="177" formatCode="0.0\h"/>
    <numFmt numFmtId="178" formatCode="0.0"/>
    <numFmt numFmtId="179" formatCode="0.0&quot; pts&quot;"/>
    <numFmt numFmtId="180" formatCode="#,##0.0;\(#,##0.0\);\-"/>
    <numFmt numFmtId="181" formatCode="0.0;\(0.0\);\-"/>
    <numFmt numFmtId="182" formatCode="0.000\x"/>
    <numFmt numFmtId="183" formatCode="0.00&quot; pts/yr&quot;"/>
    <numFmt numFmtId="184" formatCode="0.0&quot; yrs&quot;"/>
    <numFmt numFmtId="185" formatCode="\$#,##0.0,,,\B"/>
    <numFmt numFmtId="186" formatCode="#,##0.0\M"/>
    <numFmt numFmtId="187" formatCode="0.00%"/>
    <numFmt numFmtId="188" formatCode="#,##0.0,,\M"/>
    <numFmt numFmtId="189" formatCode="0.00\x"/>
    <numFmt numFmtId="190" formatCode="0.000%;\(0.000%\);\-"/>
  </numFmts>
  <fonts count="39">
    <font>
      <sz val="11"/>
      <color theme="1"/>
      <name val="Calibri"/>
      <family val="2"/>
      <charset val="1"/>
    </font>
    <font>
      <sz val="10"/>
      <name val="Arial"/>
      <family val="0"/>
    </font>
    <font>
      <sz val="10"/>
      <name val="Arial"/>
      <family val="0"/>
    </font>
    <font>
      <sz val="10"/>
      <name val="Arial"/>
      <family val="0"/>
    </font>
    <font>
      <b val="true"/>
      <sz val="16"/>
      <color rgb="FF00294C"/>
      <name val="Arial"/>
      <family val="0"/>
      <charset val="1"/>
    </font>
    <font>
      <sz val="9"/>
      <color rgb="FF555555"/>
      <name val="Arial"/>
      <family val="0"/>
      <charset val="1"/>
    </font>
    <font>
      <b val="true"/>
      <sz val="11"/>
      <color rgb="FF00294C"/>
      <name val="Arial"/>
      <family val="0"/>
      <charset val="1"/>
    </font>
    <font>
      <sz val="9"/>
      <color rgb="FF000000"/>
      <name val="Arial"/>
      <family val="0"/>
      <charset val="1"/>
    </font>
    <font>
      <b val="true"/>
      <sz val="9"/>
      <color rgb="FFFFFFFF"/>
      <name val="Arial"/>
      <family val="0"/>
      <charset val="1"/>
    </font>
    <font>
      <b val="true"/>
      <sz val="9"/>
      <color rgb="FF000000"/>
      <name val="Arial"/>
      <family val="0"/>
      <charset val="1"/>
    </font>
    <font>
      <b val="true"/>
      <sz val="15"/>
      <color rgb="FF00294C"/>
      <name val="Arial"/>
      <family val="0"/>
      <charset val="1"/>
    </font>
    <font>
      <b val="true"/>
      <sz val="10"/>
      <color rgb="FF00294C"/>
      <name val="Arial"/>
      <family val="0"/>
      <charset val="1"/>
    </font>
    <font>
      <sz val="8"/>
      <color rgb="FF000000"/>
      <name val="Arial"/>
      <family val="0"/>
      <charset val="1"/>
    </font>
    <font>
      <i val="true"/>
      <sz val="8"/>
      <color rgb="FF555555"/>
      <name val="Arial"/>
      <family val="0"/>
      <charset val="1"/>
    </font>
    <font>
      <b val="true"/>
      <sz val="14"/>
      <color rgb="FF00294C"/>
      <name val="Arial"/>
      <family val="0"/>
      <charset val="1"/>
    </font>
    <font>
      <i val="true"/>
      <sz val="9"/>
      <color rgb="FF555555"/>
      <name val="Arial"/>
      <family val="0"/>
      <charset val="1"/>
    </font>
    <font>
      <b val="true"/>
      <sz val="8"/>
      <name val="Arial"/>
      <family val="0"/>
      <charset val="1"/>
    </font>
    <font>
      <sz val="8"/>
      <color rgb="FF008000"/>
      <name val="Arial"/>
      <family val="0"/>
      <charset val="1"/>
    </font>
    <font>
      <b val="true"/>
      <sz val="18"/>
      <color rgb="FF000000"/>
      <name val="Calibri"/>
      <family val="2"/>
    </font>
    <font>
      <sz val="10"/>
      <color rgb="FF000000"/>
      <name val="Calibri"/>
      <family val="2"/>
    </font>
    <font>
      <b val="true"/>
      <sz val="8"/>
      <color rgb="FF000000"/>
      <name val="Arial"/>
      <family val="0"/>
      <charset val="1"/>
    </font>
    <font>
      <b val="true"/>
      <sz val="9"/>
      <color rgb="FFC00000"/>
      <name val="Arial"/>
      <family val="0"/>
      <charset val="1"/>
    </font>
    <font>
      <sz val="8"/>
      <color rgb="FFC00000"/>
      <name val="Arial"/>
      <family val="0"/>
      <charset val="1"/>
    </font>
    <font>
      <b val="true"/>
      <sz val="9"/>
      <name val="Arial"/>
      <family val="0"/>
      <charset val="1"/>
    </font>
    <font>
      <i val="true"/>
      <sz val="8"/>
      <name val="Arial"/>
      <family val="0"/>
      <charset val="1"/>
    </font>
    <font>
      <sz val="8"/>
      <name val="Arial"/>
      <family val="0"/>
      <charset val="1"/>
    </font>
    <font>
      <sz val="8"/>
      <color rgb="FF0000FF"/>
      <name val="Arial"/>
      <family val="0"/>
      <charset val="1"/>
    </font>
    <font>
      <sz val="9"/>
      <color rgb="FF008000"/>
      <name val="Arial"/>
      <family val="0"/>
      <charset val="1"/>
    </font>
    <font>
      <sz val="9"/>
      <color rgb="FF0000FF"/>
      <name val="Arial"/>
      <family val="0"/>
      <charset val="1"/>
    </font>
    <font>
      <b val="true"/>
      <sz val="8"/>
      <color rgb="FF999999"/>
      <name val="Arial"/>
      <family val="0"/>
      <charset val="1"/>
    </font>
    <font>
      <b val="true"/>
      <sz val="8"/>
      <color rgb="FFC00000"/>
      <name val="Arial"/>
      <family val="0"/>
      <charset val="1"/>
    </font>
    <font>
      <sz val="10"/>
      <name val="Arial"/>
      <family val="2"/>
    </font>
    <font>
      <i val="true"/>
      <sz val="8"/>
      <color rgb="FFC00000"/>
      <name val="Arial"/>
      <family val="0"/>
      <charset val="1"/>
    </font>
    <font>
      <b val="true"/>
      <sz val="9"/>
      <color rgb="FF0000FF"/>
      <name val="Arial"/>
      <family val="0"/>
      <charset val="1"/>
    </font>
    <font>
      <b val="true"/>
      <sz val="9"/>
      <color rgb="FF00294C"/>
      <name val="Arial"/>
      <family val="0"/>
      <charset val="1"/>
    </font>
    <font>
      <sz val="8"/>
      <color rgb="FFFF0000"/>
      <name val="Arial"/>
      <family val="0"/>
      <charset val="1"/>
    </font>
    <font>
      <b val="true"/>
      <sz val="9"/>
      <color rgb="FF8C9BA5"/>
      <name val="Arial"/>
      <family val="0"/>
      <charset val="1"/>
    </font>
    <font>
      <b val="true"/>
      <sz val="10"/>
      <color rgb="FF000000"/>
      <name val="Arial"/>
      <family val="0"/>
      <charset val="1"/>
    </font>
    <font>
      <sz val="9"/>
      <name val="Arial"/>
      <family val="0"/>
      <charset val="1"/>
    </font>
  </fonts>
  <fills count="5">
    <fill>
      <patternFill patternType="none"/>
    </fill>
    <fill>
      <patternFill patternType="gray125"/>
    </fill>
    <fill>
      <patternFill patternType="solid">
        <fgColor rgb="FF00294C"/>
        <bgColor rgb="FF003300"/>
      </patternFill>
    </fill>
    <fill>
      <patternFill patternType="solid">
        <fgColor rgb="FFF2F4F6"/>
        <bgColor rgb="FFF2F6F9"/>
      </patternFill>
    </fill>
    <fill>
      <patternFill patternType="solid">
        <fgColor rgb="FFF2F6F9"/>
        <bgColor rgb="FFF2F4F6"/>
      </patternFill>
    </fill>
  </fills>
  <borders count="4">
    <border diagonalUp="false" diagonalDown="false">
      <left/>
      <right/>
      <top/>
      <bottom/>
      <diagonal/>
    </border>
    <border diagonalUp="false" diagonalDown="false">
      <left/>
      <right/>
      <top/>
      <bottom style="medium">
        <color rgb="FF00294C"/>
      </bottom>
      <diagonal/>
    </border>
    <border diagonalUp="false" diagonalDown="false">
      <left/>
      <right/>
      <top/>
      <bottom style="thin">
        <color rgb="FFD9DEE3"/>
      </bottom>
      <diagonal/>
    </border>
    <border diagonalUp="false" diagonalDown="false">
      <left/>
      <right/>
      <top/>
      <bottom style="thin">
        <color rgb="FFD9DDE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top" textRotation="0" wrapText="fals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4" fontId="9" fillId="0" borderId="2" xfId="0" applyFont="true" applyBorder="true" applyAlignment="true" applyProtection="false">
      <alignment horizontal="general" vertical="top" textRotation="0" wrapText="true" indent="0" shrinkToFit="false"/>
      <protection locked="true" hidden="false"/>
    </xf>
    <xf numFmtId="164" fontId="7" fillId="0" borderId="2" xfId="0" applyFont="true" applyBorder="true" applyAlignment="true" applyProtection="false">
      <alignment horizontal="general" vertical="top" textRotation="0" wrapText="tru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top" textRotation="0" wrapText="true" indent="0" shrinkToFit="false"/>
      <protection locked="true" hidden="false"/>
    </xf>
    <xf numFmtId="164" fontId="12" fillId="0" borderId="2" xfId="0" applyFont="true" applyBorder="true" applyAlignment="true" applyProtection="false">
      <alignment horizontal="general" vertical="top" textRotation="0" wrapText="false" indent="0" shrinkToFit="false"/>
      <protection locked="true" hidden="false"/>
    </xf>
    <xf numFmtId="164" fontId="12" fillId="0" borderId="2" xfId="0" applyFont="true" applyBorder="true" applyAlignment="true" applyProtection="false">
      <alignment horizontal="general" vertical="top" textRotation="0" wrapText="tru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4" fontId="9" fillId="0" borderId="2" xfId="0" applyFont="true" applyBorder="true" applyAlignment="true" applyProtection="false">
      <alignment horizontal="general" vertical="top"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5" fontId="17" fillId="0" borderId="0" xfId="0" applyFont="true" applyBorder="false" applyAlignment="true" applyProtection="false">
      <alignment horizontal="general" vertical="bottom" textRotation="0" wrapText="false" indent="0" shrinkToFit="false"/>
      <protection locked="true" hidden="false"/>
    </xf>
    <xf numFmtId="164" fontId="20" fillId="0" borderId="2" xfId="0" applyFont="true" applyBorder="true" applyAlignment="true" applyProtection="false">
      <alignment horizontal="general" vertical="top" textRotation="0" wrapText="true" indent="0" shrinkToFit="false"/>
      <protection locked="true" hidden="false"/>
    </xf>
    <xf numFmtId="166" fontId="7" fillId="0" borderId="2" xfId="0" applyFont="true" applyBorder="true" applyAlignment="true" applyProtection="false">
      <alignment horizontal="center" vertical="top" textRotation="0" wrapText="false" indent="0" shrinkToFit="false"/>
      <protection locked="true" hidden="false"/>
    </xf>
    <xf numFmtId="164" fontId="20" fillId="3" borderId="2" xfId="0" applyFont="true" applyBorder="true" applyAlignment="true" applyProtection="false">
      <alignment horizontal="general" vertical="top" textRotation="0" wrapText="true" indent="0" shrinkToFit="false"/>
      <protection locked="true" hidden="false"/>
    </xf>
    <xf numFmtId="166" fontId="7" fillId="3" borderId="2" xfId="0" applyFont="true" applyBorder="true" applyAlignment="true" applyProtection="false">
      <alignment horizontal="center" vertical="top" textRotation="0" wrapText="false" indent="0" shrinkToFit="false"/>
      <protection locked="true" hidden="false"/>
    </xf>
    <xf numFmtId="166" fontId="21" fillId="3" borderId="2" xfId="0" applyFont="true" applyBorder="true" applyAlignment="true" applyProtection="false">
      <alignment horizontal="center" vertical="top" textRotation="0" wrapText="false" indent="0" shrinkToFit="false"/>
      <protection locked="true" hidden="false"/>
    </xf>
    <xf numFmtId="164" fontId="12" fillId="3" borderId="2" xfId="0" applyFont="true" applyBorder="true" applyAlignment="true" applyProtection="false">
      <alignment horizontal="general" vertical="top" textRotation="0" wrapText="true" indent="0" shrinkToFit="false"/>
      <protection locked="true" hidden="false"/>
    </xf>
    <xf numFmtId="166" fontId="21" fillId="0" borderId="2" xfId="0" applyFont="true" applyBorder="true" applyAlignment="true" applyProtection="false">
      <alignment horizontal="center" vertical="top" textRotation="0" wrapText="false" indent="0" shrinkToFit="false"/>
      <protection locked="true" hidden="false"/>
    </xf>
    <xf numFmtId="164" fontId="22" fillId="3" borderId="2" xfId="0" applyFont="true" applyBorder="true" applyAlignment="true" applyProtection="false">
      <alignment horizontal="general" vertical="top" textRotation="0" wrapText="true" indent="0" shrinkToFit="false"/>
      <protection locked="true" hidden="false"/>
    </xf>
    <xf numFmtId="164" fontId="13" fillId="0" borderId="2" xfId="0" applyFont="true" applyBorder="true" applyAlignment="true" applyProtection="false">
      <alignment horizontal="center" vertical="top" textRotation="0" wrapText="false" indent="0" shrinkToFit="false"/>
      <protection locked="true" hidden="false"/>
    </xf>
    <xf numFmtId="164" fontId="23" fillId="0" borderId="2" xfId="0" applyFont="true" applyBorder="true" applyAlignment="true" applyProtection="false">
      <alignment horizontal="general" vertical="top" textRotation="0" wrapText="false" indent="0" shrinkToFit="false"/>
      <protection locked="true" hidden="false"/>
    </xf>
    <xf numFmtId="166" fontId="9" fillId="0" borderId="2" xfId="0" applyFont="true" applyBorder="true" applyAlignment="true" applyProtection="false">
      <alignment horizontal="center" vertical="top" textRotation="0" wrapText="false" indent="0" shrinkToFit="false"/>
      <protection locked="true" hidden="false"/>
    </xf>
    <xf numFmtId="164" fontId="24" fillId="0" borderId="2" xfId="0" applyFont="true" applyBorder="true" applyAlignment="true" applyProtection="false">
      <alignment horizontal="general" vertical="top" textRotation="0" wrapText="false" indent="0" shrinkToFit="false"/>
      <protection locked="true" hidden="false"/>
    </xf>
    <xf numFmtId="170" fontId="23" fillId="0" borderId="2" xfId="0" applyFont="true" applyBorder="true" applyAlignment="true" applyProtection="false">
      <alignment horizontal="general" vertical="top" textRotation="0" wrapText="false" indent="0" shrinkToFit="false"/>
      <protection locked="true" hidden="false"/>
    </xf>
    <xf numFmtId="164" fontId="25" fillId="0" borderId="2" xfId="0" applyFont="true" applyBorder="true" applyAlignment="true" applyProtection="false">
      <alignment horizontal="general" vertical="top" textRotation="0" wrapText="true" indent="0" shrinkToFit="false"/>
      <protection locked="true" hidden="false"/>
    </xf>
    <xf numFmtId="164" fontId="16" fillId="0" borderId="2" xfId="0" applyFont="true" applyBorder="true" applyAlignment="true" applyProtection="false">
      <alignment horizontal="center" vertical="top" textRotation="0" wrapText="false" indent="0" shrinkToFit="false"/>
      <protection locked="true" hidden="false"/>
    </xf>
    <xf numFmtId="164" fontId="25" fillId="0" borderId="2" xfId="0" applyFont="true" applyBorder="true" applyAlignment="true" applyProtection="false">
      <alignment horizontal="left" vertical="top" textRotation="0" wrapText="true" indent="0" shrinkToFit="false"/>
      <protection locked="true" hidden="false"/>
    </xf>
    <xf numFmtId="164" fontId="16" fillId="3" borderId="2" xfId="0" applyFont="true" applyBorder="true" applyAlignment="true" applyProtection="false">
      <alignment horizontal="center" vertical="top" textRotation="0" wrapText="false" indent="0" shrinkToFit="false"/>
      <protection locked="true" hidden="false"/>
    </xf>
    <xf numFmtId="164" fontId="25" fillId="3" borderId="2" xfId="0" applyFont="true" applyBorder="true" applyAlignment="true" applyProtection="false">
      <alignment horizontal="left" vertical="top" textRotation="0" wrapText="true" indent="0" shrinkToFit="false"/>
      <protection locked="true" hidden="false"/>
    </xf>
    <xf numFmtId="164" fontId="20" fillId="0" borderId="2" xfId="0" applyFont="true" applyBorder="true" applyAlignment="true" applyProtection="false">
      <alignment horizontal="general" vertical="top" textRotation="0" wrapText="false" indent="0" shrinkToFit="false"/>
      <protection locked="true" hidden="false"/>
    </xf>
    <xf numFmtId="164" fontId="22" fillId="0" borderId="2" xfId="0" applyFont="true" applyBorder="true" applyAlignment="true" applyProtection="false">
      <alignment horizontal="general" vertical="top" textRotation="0" wrapText="true" indent="0" shrinkToFit="false"/>
      <protection locked="true" hidden="false"/>
    </xf>
    <xf numFmtId="164" fontId="26" fillId="0" borderId="2" xfId="0" applyFont="true" applyBorder="true" applyAlignment="true" applyProtection="false">
      <alignment horizontal="general" vertical="top" textRotation="0" wrapText="true" indent="0" shrinkToFit="false"/>
      <protection locked="true" hidden="false"/>
    </xf>
    <xf numFmtId="164" fontId="26" fillId="3" borderId="2" xfId="0" applyFont="true" applyBorder="true" applyAlignment="true" applyProtection="false">
      <alignment horizontal="general" vertical="top" textRotation="0" wrapText="true" indent="0" shrinkToFit="false"/>
      <protection locked="true" hidden="false"/>
    </xf>
    <xf numFmtId="164" fontId="25" fillId="0" borderId="0" xfId="0" applyFont="true" applyBorder="true" applyAlignment="true" applyProtection="false">
      <alignment horizontal="general" vertical="top" textRotation="0" wrapText="true" indent="0" shrinkToFit="false"/>
      <protection locked="true" hidden="false"/>
    </xf>
    <xf numFmtId="164" fontId="22"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20" fillId="0" borderId="2" xfId="0" applyFont="true" applyBorder="true" applyAlignment="true" applyProtection="false">
      <alignment horizontal="left" vertical="top" textRotation="0" wrapText="false" indent="0" shrinkToFit="false"/>
      <protection locked="true" hidden="false"/>
    </xf>
    <xf numFmtId="164" fontId="12" fillId="0" borderId="2" xfId="0" applyFont="true" applyBorder="true" applyAlignment="true" applyProtection="false">
      <alignment horizontal="left" vertical="top" textRotation="0" wrapText="true" indent="0" shrinkToFit="false"/>
      <protection locked="true" hidden="false"/>
    </xf>
    <xf numFmtId="164" fontId="12" fillId="0" borderId="2" xfId="0" applyFont="true" applyBorder="true" applyAlignment="true" applyProtection="false">
      <alignment horizontal="center" vertical="top" textRotation="0" wrapText="false" indent="0" shrinkToFit="false"/>
      <protection locked="true" hidden="false"/>
    </xf>
    <xf numFmtId="166" fontId="27" fillId="0" borderId="2" xfId="0" applyFont="true" applyBorder="true" applyAlignment="true" applyProtection="false">
      <alignment horizontal="right" vertical="top" textRotation="0" wrapText="false" indent="0" shrinkToFit="false"/>
      <protection locked="true" hidden="false"/>
    </xf>
    <xf numFmtId="164" fontId="12" fillId="0" borderId="2" xfId="0" applyFont="true" applyBorder="true" applyAlignment="true" applyProtection="false">
      <alignment horizontal="left" vertical="top" textRotation="0" wrapText="false" indent="0" shrinkToFit="false"/>
      <protection locked="true" hidden="false"/>
    </xf>
    <xf numFmtId="164" fontId="20" fillId="3" borderId="2" xfId="0" applyFont="true" applyBorder="true" applyAlignment="true" applyProtection="false">
      <alignment horizontal="left" vertical="top" textRotation="0" wrapText="false" indent="0" shrinkToFit="false"/>
      <protection locked="true" hidden="false"/>
    </xf>
    <xf numFmtId="164" fontId="12" fillId="3" borderId="2" xfId="0" applyFont="true" applyBorder="true" applyAlignment="true" applyProtection="false">
      <alignment horizontal="left" vertical="top" textRotation="0" wrapText="true" indent="0" shrinkToFit="false"/>
      <protection locked="true" hidden="false"/>
    </xf>
    <xf numFmtId="164" fontId="12" fillId="3" borderId="2" xfId="0" applyFont="true" applyBorder="true" applyAlignment="true" applyProtection="false">
      <alignment horizontal="center" vertical="top" textRotation="0" wrapText="false" indent="0" shrinkToFit="false"/>
      <protection locked="true" hidden="false"/>
    </xf>
    <xf numFmtId="166" fontId="27" fillId="3" borderId="2" xfId="0" applyFont="true" applyBorder="true" applyAlignment="true" applyProtection="false">
      <alignment horizontal="right" vertical="top" textRotation="0" wrapText="false" indent="0" shrinkToFit="false"/>
      <protection locked="true" hidden="false"/>
    </xf>
    <xf numFmtId="164" fontId="12" fillId="3" borderId="2" xfId="0" applyFont="true" applyBorder="true" applyAlignment="true" applyProtection="false">
      <alignment horizontal="left" vertical="top" textRotation="0" wrapText="false" indent="0" shrinkToFit="false"/>
      <protection locked="true" hidden="false"/>
    </xf>
    <xf numFmtId="166" fontId="27" fillId="0" borderId="2" xfId="0" applyFont="true" applyBorder="true" applyAlignment="true" applyProtection="false">
      <alignment horizontal="right" vertical="top" textRotation="0" wrapText="true" indent="0" shrinkToFit="false"/>
      <protection locked="true" hidden="false"/>
    </xf>
    <xf numFmtId="171" fontId="27" fillId="3" borderId="2" xfId="0" applyFont="true" applyBorder="true" applyAlignment="true" applyProtection="false">
      <alignment horizontal="right" vertical="top" textRotation="0" wrapText="false" indent="0" shrinkToFit="false"/>
      <protection locked="true" hidden="false"/>
    </xf>
    <xf numFmtId="171" fontId="27" fillId="0" borderId="2" xfId="0" applyFont="true" applyBorder="true" applyAlignment="true" applyProtection="false">
      <alignment horizontal="right" vertical="top" textRotation="0" wrapText="false" indent="0" shrinkToFit="false"/>
      <protection locked="true" hidden="false"/>
    </xf>
    <xf numFmtId="171" fontId="27" fillId="3" borderId="2" xfId="0" applyFont="true" applyBorder="true" applyAlignment="true" applyProtection="false">
      <alignment horizontal="right" vertical="top" textRotation="0" wrapText="true" indent="0" shrinkToFit="false"/>
      <protection locked="true" hidden="false"/>
    </xf>
    <xf numFmtId="168" fontId="27" fillId="0" borderId="2" xfId="0" applyFont="true" applyBorder="true" applyAlignment="true" applyProtection="false">
      <alignment horizontal="right" vertical="top" textRotation="0" wrapText="false" indent="0" shrinkToFit="false"/>
      <protection locked="true" hidden="false"/>
    </xf>
    <xf numFmtId="168" fontId="27" fillId="3" borderId="2" xfId="0" applyFont="true" applyBorder="true" applyAlignment="true" applyProtection="false">
      <alignment horizontal="right" vertical="top" textRotation="0" wrapText="false" indent="0" shrinkToFit="false"/>
      <protection locked="true" hidden="false"/>
    </xf>
    <xf numFmtId="171" fontId="27" fillId="0" borderId="2" xfId="0" applyFont="true" applyBorder="true" applyAlignment="true" applyProtection="false">
      <alignment horizontal="right" vertical="top" textRotation="0" wrapText="true" indent="0" shrinkToFit="false"/>
      <protection locked="true" hidden="false"/>
    </xf>
    <xf numFmtId="164" fontId="12" fillId="3" borderId="3" xfId="0" applyFont="true" applyBorder="true" applyAlignment="true" applyProtection="false">
      <alignment horizontal="left" vertical="top" textRotation="0" wrapText="true" indent="0" shrinkToFit="false"/>
      <protection locked="true" hidden="false"/>
    </xf>
    <xf numFmtId="172" fontId="27" fillId="0" borderId="2" xfId="0" applyFont="true" applyBorder="true" applyAlignment="true" applyProtection="false">
      <alignment horizontal="right" vertical="top" textRotation="0" wrapText="false" indent="0" shrinkToFit="false"/>
      <protection locked="true" hidden="false"/>
    </xf>
    <xf numFmtId="173" fontId="27" fillId="3" borderId="2" xfId="0" applyFont="true" applyBorder="true" applyAlignment="true" applyProtection="false">
      <alignment horizontal="right" vertical="top" textRotation="0" wrapText="false" indent="0" shrinkToFit="false"/>
      <protection locked="true" hidden="false"/>
    </xf>
    <xf numFmtId="173" fontId="27" fillId="0" borderId="2" xfId="0" applyFont="true" applyBorder="true" applyAlignment="true" applyProtection="false">
      <alignment horizontal="right" vertical="top" textRotation="0" wrapText="false" indent="0" shrinkToFit="false"/>
      <protection locked="true" hidden="false"/>
    </xf>
    <xf numFmtId="164" fontId="22" fillId="0" borderId="2" xfId="0" applyFont="true" applyBorder="true" applyAlignment="true" applyProtection="false">
      <alignment horizontal="left" vertical="top" textRotation="0" wrapText="true" indent="0" shrinkToFit="false"/>
      <protection locked="true" hidden="false"/>
    </xf>
    <xf numFmtId="166" fontId="28" fillId="0" borderId="2" xfId="0" applyFont="true" applyBorder="true" applyAlignment="true" applyProtection="false">
      <alignment horizontal="right" vertical="top" textRotation="0" wrapText="false" indent="0" shrinkToFit="false"/>
      <protection locked="true" hidden="false"/>
    </xf>
    <xf numFmtId="167" fontId="27" fillId="3" borderId="2" xfId="0" applyFont="true" applyBorder="true" applyAlignment="true" applyProtection="false">
      <alignment horizontal="right" vertical="top" textRotation="0" wrapText="false" indent="0" shrinkToFit="false"/>
      <protection locked="true" hidden="false"/>
    </xf>
    <xf numFmtId="167" fontId="27" fillId="0" borderId="2" xfId="0" applyFont="true" applyBorder="true" applyAlignment="true" applyProtection="false">
      <alignment horizontal="right" vertical="top" textRotation="0" wrapText="false" indent="0" shrinkToFit="false"/>
      <protection locked="true" hidden="false"/>
    </xf>
    <xf numFmtId="168" fontId="28" fillId="3" borderId="2" xfId="0" applyFont="true" applyBorder="true" applyAlignment="true" applyProtection="false">
      <alignment horizontal="right" vertical="top" textRotation="0" wrapText="false" indent="0" shrinkToFit="false"/>
      <protection locked="true" hidden="false"/>
    </xf>
    <xf numFmtId="166" fontId="27" fillId="3" borderId="2" xfId="0" applyFont="true" applyBorder="true" applyAlignment="true" applyProtection="false">
      <alignment horizontal="right" vertical="top" textRotation="0" wrapText="true" indent="0" shrinkToFit="false"/>
      <protection locked="true" hidden="false"/>
    </xf>
    <xf numFmtId="168" fontId="27" fillId="0" borderId="2" xfId="0" applyFont="true" applyBorder="true" applyAlignment="true" applyProtection="false">
      <alignment horizontal="right" vertical="top" textRotation="0" wrapText="true" indent="0" shrinkToFit="false"/>
      <protection locked="true" hidden="false"/>
    </xf>
    <xf numFmtId="174" fontId="27" fillId="3" borderId="2" xfId="0" applyFont="true" applyBorder="true" applyAlignment="true" applyProtection="false">
      <alignment horizontal="right" vertical="top" textRotation="0" wrapText="false" indent="0" shrinkToFit="false"/>
      <protection locked="true" hidden="false"/>
    </xf>
    <xf numFmtId="173" fontId="28" fillId="3" borderId="2" xfId="0" applyFont="true" applyBorder="true" applyAlignment="true" applyProtection="false">
      <alignment horizontal="right" vertical="top" textRotation="0" wrapText="false" indent="0" shrinkToFit="false"/>
      <protection locked="true" hidden="false"/>
    </xf>
    <xf numFmtId="164" fontId="22" fillId="3" borderId="2" xfId="0" applyFont="true" applyBorder="true" applyAlignment="true" applyProtection="false">
      <alignment horizontal="left" vertical="top" textRotation="0" wrapText="true" indent="0" shrinkToFit="false"/>
      <protection locked="true" hidden="false"/>
    </xf>
    <xf numFmtId="173" fontId="28" fillId="0" borderId="2" xfId="0" applyFont="true" applyBorder="true" applyAlignment="true" applyProtection="false">
      <alignment horizontal="right" vertical="top" textRotation="0" wrapText="false" indent="0" shrinkToFit="false"/>
      <protection locked="true" hidden="false"/>
    </xf>
    <xf numFmtId="166" fontId="28" fillId="3" borderId="2" xfId="0" applyFont="true" applyBorder="true" applyAlignment="true" applyProtection="false">
      <alignment horizontal="right" vertical="top" textRotation="0" wrapText="false" indent="0" shrinkToFit="false"/>
      <protection locked="true" hidden="false"/>
    </xf>
    <xf numFmtId="164" fontId="16" fillId="0" borderId="2" xfId="0" applyFont="true" applyBorder="true" applyAlignment="true" applyProtection="false">
      <alignment horizontal="left" vertical="top" textRotation="0" wrapText="false" indent="0" shrinkToFit="false"/>
      <protection locked="true" hidden="false"/>
    </xf>
    <xf numFmtId="164" fontId="25" fillId="0" borderId="2" xfId="0" applyFont="true" applyBorder="true" applyAlignment="true" applyProtection="false">
      <alignment horizontal="center" vertical="top" textRotation="0" wrapText="false" indent="0" shrinkToFit="false"/>
      <protection locked="true" hidden="false"/>
    </xf>
    <xf numFmtId="164" fontId="25" fillId="0" borderId="2" xfId="0" applyFont="true" applyBorder="true" applyAlignment="true" applyProtection="false">
      <alignment horizontal="left" vertical="top" textRotation="0" wrapText="false" indent="0" shrinkToFit="false"/>
      <protection locked="true" hidden="false"/>
    </xf>
    <xf numFmtId="164" fontId="16" fillId="3" borderId="2" xfId="0" applyFont="true" applyBorder="true" applyAlignment="true" applyProtection="false">
      <alignment horizontal="left" vertical="top" textRotation="0" wrapText="false" indent="0" shrinkToFit="false"/>
      <protection locked="true" hidden="false"/>
    </xf>
    <xf numFmtId="164" fontId="25" fillId="3" borderId="2" xfId="0" applyFont="true" applyBorder="true" applyAlignment="true" applyProtection="false">
      <alignment horizontal="center" vertical="top" textRotation="0" wrapText="false" indent="0" shrinkToFit="false"/>
      <protection locked="true" hidden="false"/>
    </xf>
    <xf numFmtId="164" fontId="25" fillId="3" borderId="2" xfId="0" applyFont="true" applyBorder="true" applyAlignment="true" applyProtection="false">
      <alignment horizontal="left" vertical="top" textRotation="0" wrapText="false" indent="0" shrinkToFit="false"/>
      <protection locked="true" hidden="false"/>
    </xf>
    <xf numFmtId="175" fontId="27" fillId="3" borderId="2" xfId="0" applyFont="true" applyBorder="true" applyAlignment="true" applyProtection="false">
      <alignment horizontal="right" vertical="top" textRotation="0" wrapText="true" indent="0" shrinkToFit="false"/>
      <protection locked="true" hidden="false"/>
    </xf>
    <xf numFmtId="172" fontId="28" fillId="3" borderId="2" xfId="0" applyFont="true" applyBorder="true" applyAlignment="true" applyProtection="false">
      <alignment horizontal="right" vertical="top" textRotation="0" wrapText="false" indent="0" shrinkToFit="false"/>
      <protection locked="true" hidden="false"/>
    </xf>
    <xf numFmtId="169" fontId="27" fillId="0" borderId="2" xfId="0" applyFont="true" applyBorder="true" applyAlignment="true" applyProtection="false">
      <alignment horizontal="right" vertical="top" textRotation="0" wrapText="false" indent="0" shrinkToFit="false"/>
      <protection locked="true" hidden="false"/>
    </xf>
    <xf numFmtId="169" fontId="27" fillId="3" borderId="2" xfId="0" applyFont="true" applyBorder="true" applyAlignment="true" applyProtection="false">
      <alignment horizontal="right" vertical="top" textRotation="0" wrapText="false" indent="0" shrinkToFit="false"/>
      <protection locked="true" hidden="false"/>
    </xf>
    <xf numFmtId="164" fontId="7" fillId="0" borderId="2" xfId="0" applyFont="true" applyBorder="true" applyAlignment="true" applyProtection="false">
      <alignment horizontal="general" vertical="top" textRotation="0" wrapText="false" indent="0" shrinkToFit="false"/>
      <protection locked="true" hidden="false"/>
    </xf>
    <xf numFmtId="166" fontId="28" fillId="0" borderId="2" xfId="0" applyFont="true" applyBorder="true" applyAlignment="true" applyProtection="false">
      <alignment horizontal="general" vertical="top" textRotation="0" wrapText="false" indent="0" shrinkToFit="false"/>
      <protection locked="true" hidden="false"/>
    </xf>
    <xf numFmtId="168" fontId="7" fillId="0" borderId="2" xfId="0" applyFont="true" applyBorder="true" applyAlignment="true" applyProtection="false">
      <alignment horizontal="general" vertical="top" textRotation="0" wrapText="false" indent="0" shrinkToFit="false"/>
      <protection locked="true" hidden="false"/>
    </xf>
    <xf numFmtId="173" fontId="28" fillId="0" borderId="2" xfId="0" applyFont="true" applyBorder="true" applyAlignment="true" applyProtection="false">
      <alignment horizontal="general" vertical="top" textRotation="0" wrapText="false" indent="0" shrinkToFit="false"/>
      <protection locked="true" hidden="false"/>
    </xf>
    <xf numFmtId="168" fontId="28" fillId="0" borderId="2" xfId="0" applyFont="true" applyBorder="true" applyAlignment="true" applyProtection="false">
      <alignment horizontal="general" vertical="top" textRotation="0" wrapText="false" indent="0" shrinkToFit="false"/>
      <protection locked="true" hidden="false"/>
    </xf>
    <xf numFmtId="176" fontId="7" fillId="0" borderId="2" xfId="0" applyFont="true" applyBorder="true" applyAlignment="true" applyProtection="false">
      <alignment horizontal="general" vertical="top" textRotation="0" wrapText="false" indent="0" shrinkToFit="false"/>
      <protection locked="true" hidden="false"/>
    </xf>
    <xf numFmtId="172" fontId="28" fillId="0" borderId="2" xfId="0" applyFont="true" applyBorder="true" applyAlignment="true" applyProtection="false">
      <alignment horizontal="general" vertical="top" textRotation="0" wrapText="false" indent="0" shrinkToFit="false"/>
      <protection locked="true" hidden="false"/>
    </xf>
    <xf numFmtId="174" fontId="7" fillId="0" borderId="2" xfId="0" applyFont="true" applyBorder="true" applyAlignment="true" applyProtection="false">
      <alignment horizontal="general" vertical="top" textRotation="0" wrapText="false" indent="0" shrinkToFit="false"/>
      <protection locked="true" hidden="false"/>
    </xf>
    <xf numFmtId="166" fontId="7" fillId="0" borderId="2" xfId="0" applyFont="true" applyBorder="true" applyAlignment="true" applyProtection="false">
      <alignment horizontal="general" vertical="top"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22" fillId="0" borderId="0" xfId="0" applyFont="true" applyBorder="false" applyAlignment="true" applyProtection="false">
      <alignment horizontal="general" vertical="top" textRotation="0" wrapText="true" indent="0" shrinkToFit="false"/>
      <protection locked="true" hidden="false"/>
    </xf>
    <xf numFmtId="164" fontId="11" fillId="0" borderId="2" xfId="0" applyFont="true" applyBorder="true" applyAlignment="true" applyProtection="false">
      <alignment horizontal="general" vertical="top" textRotation="0" wrapText="true" indent="0" shrinkToFit="false"/>
      <protection locked="true" hidden="false"/>
    </xf>
    <xf numFmtId="164" fontId="0" fillId="0" borderId="2" xfId="0" applyFont="false" applyBorder="true" applyAlignment="true" applyProtection="false">
      <alignment horizontal="general" vertical="bottom" textRotation="0" wrapText="false" indent="0" shrinkToFit="false"/>
      <protection locked="true" hidden="false"/>
    </xf>
    <xf numFmtId="164" fontId="29" fillId="0" borderId="2"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16" fillId="0" borderId="1" xfId="0" applyFont="true" applyBorder="true" applyAlignment="true" applyProtection="false">
      <alignment horizontal="general" vertical="top" textRotation="0" wrapText="false" indent="0" shrinkToFit="false"/>
      <protection locked="true" hidden="false"/>
    </xf>
    <xf numFmtId="164" fontId="25" fillId="0" borderId="2" xfId="0" applyFont="true" applyBorder="true" applyAlignment="true" applyProtection="false">
      <alignment horizontal="general" vertical="top" textRotation="0" wrapText="false" indent="0" shrinkToFit="false"/>
      <protection locked="true" hidden="false"/>
    </xf>
    <xf numFmtId="164" fontId="26" fillId="0" borderId="2" xfId="0" applyFont="true" applyBorder="true" applyAlignment="true" applyProtection="false">
      <alignment horizontal="general" vertical="top" textRotation="0" wrapText="false" indent="0" shrinkToFit="false"/>
      <protection locked="true" hidden="false"/>
    </xf>
    <xf numFmtId="164" fontId="13" fillId="0" borderId="2" xfId="0" applyFont="true" applyBorder="true" applyAlignment="true" applyProtection="false">
      <alignment horizontal="general" vertical="top" textRotation="0" wrapText="true" indent="0" shrinkToFit="false"/>
      <protection locked="true" hidden="false"/>
    </xf>
    <xf numFmtId="169" fontId="28" fillId="0" borderId="2" xfId="0" applyFont="true" applyBorder="true" applyAlignment="true" applyProtection="false">
      <alignment horizontal="general" vertical="top" textRotation="0" wrapText="false" indent="0" shrinkToFit="false"/>
      <protection locked="true" hidden="false"/>
    </xf>
    <xf numFmtId="169" fontId="7" fillId="0" borderId="2" xfId="0" applyFont="true" applyBorder="true" applyAlignment="true" applyProtection="false">
      <alignment horizontal="general" vertical="top" textRotation="0" wrapText="false" indent="0" shrinkToFit="false"/>
      <protection locked="true" hidden="false"/>
    </xf>
    <xf numFmtId="177" fontId="7" fillId="0" borderId="2" xfId="0" applyFont="true" applyBorder="true" applyAlignment="true" applyProtection="false">
      <alignment horizontal="general" vertical="top" textRotation="0" wrapText="false" indent="0" shrinkToFit="false"/>
      <protection locked="true" hidden="false"/>
    </xf>
    <xf numFmtId="164" fontId="12" fillId="0" borderId="3" xfId="0" applyFont="true" applyBorder="true" applyAlignment="true" applyProtection="false">
      <alignment horizontal="general" vertical="top" textRotation="0" wrapText="true" indent="0" shrinkToFit="false"/>
      <protection locked="true" hidden="false"/>
    </xf>
    <xf numFmtId="164" fontId="0" fillId="0" borderId="3" xfId="0" applyFont="false" applyBorder="true" applyAlignment="true" applyProtection="false">
      <alignment horizontal="general" vertical="bottom" textRotation="0" wrapText="false" indent="0" shrinkToFit="false"/>
      <protection locked="true" hidden="false"/>
    </xf>
    <xf numFmtId="168" fontId="27" fillId="0" borderId="2" xfId="0" applyFont="true" applyBorder="true" applyAlignment="true" applyProtection="false">
      <alignment horizontal="general" vertical="top" textRotation="0" wrapText="false" indent="0" shrinkToFit="false"/>
      <protection locked="true" hidden="false"/>
    </xf>
    <xf numFmtId="164" fontId="12" fillId="3" borderId="2" xfId="0" applyFont="true" applyBorder="true" applyAlignment="true" applyProtection="false">
      <alignment horizontal="general" vertical="top" textRotation="0" wrapText="false" indent="0" shrinkToFit="false"/>
      <protection locked="true" hidden="false"/>
    </xf>
    <xf numFmtId="164" fontId="30" fillId="0" borderId="2" xfId="0" applyFont="true" applyBorder="true" applyAlignment="true" applyProtection="false">
      <alignment horizontal="general" vertical="top" textRotation="0" wrapText="false" indent="0" shrinkToFit="false"/>
      <protection locked="true" hidden="false"/>
    </xf>
    <xf numFmtId="164" fontId="28" fillId="0" borderId="2" xfId="0" applyFont="true" applyBorder="true" applyAlignment="true" applyProtection="false">
      <alignment horizontal="general" vertical="top" textRotation="0" wrapText="false" indent="0" shrinkToFit="false"/>
      <protection locked="true" hidden="false"/>
    </xf>
    <xf numFmtId="178" fontId="28" fillId="0" borderId="2" xfId="0" applyFont="true" applyBorder="true" applyAlignment="true" applyProtection="false">
      <alignment horizontal="general" vertical="top" textRotation="0" wrapText="false" indent="0" shrinkToFit="false"/>
      <protection locked="true" hidden="false"/>
    </xf>
    <xf numFmtId="170" fontId="28" fillId="0" borderId="2" xfId="0" applyFont="true" applyBorder="true" applyAlignment="true" applyProtection="false">
      <alignment horizontal="general" vertical="top" textRotation="0" wrapText="fals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71" fontId="7" fillId="0" borderId="2" xfId="0" applyFont="true" applyBorder="true" applyAlignment="true" applyProtection="false">
      <alignment horizontal="general" vertical="bottom" textRotation="0" wrapText="false" indent="0" shrinkToFit="false"/>
      <protection locked="true" hidden="false"/>
    </xf>
    <xf numFmtId="171" fontId="7" fillId="0" borderId="2" xfId="0" applyFont="true" applyBorder="true" applyAlignment="true" applyProtection="false">
      <alignment horizontal="general" vertical="top" textRotation="0" wrapText="false" indent="0" shrinkToFit="false"/>
      <protection locked="true" hidden="false"/>
    </xf>
    <xf numFmtId="166" fontId="27" fillId="0" borderId="2" xfId="0" applyFont="true" applyBorder="true" applyAlignment="true" applyProtection="false">
      <alignment horizontal="general" vertical="top" textRotation="0" wrapText="false" indent="0" shrinkToFit="false"/>
      <protection locked="true" hidden="false"/>
    </xf>
    <xf numFmtId="171" fontId="27" fillId="0" borderId="2" xfId="0" applyFont="true" applyBorder="true" applyAlignment="true" applyProtection="false">
      <alignment horizontal="general" vertical="top" textRotation="0" wrapText="false" indent="0" shrinkToFit="false"/>
      <protection locked="true" hidden="false"/>
    </xf>
    <xf numFmtId="168" fontId="7" fillId="0" borderId="2" xfId="0" applyFont="true" applyBorder="true" applyAlignment="true" applyProtection="false">
      <alignment horizontal="general" vertical="top" textRotation="0" wrapText="true" indent="0" shrinkToFit="false"/>
      <protection locked="true" hidden="false"/>
    </xf>
    <xf numFmtId="164" fontId="7" fillId="0" borderId="2" xfId="0" applyFont="true" applyBorder="true" applyAlignment="true" applyProtection="false">
      <alignment horizontal="general" vertical="bottom" textRotation="0" wrapText="false" indent="0" shrinkToFit="false"/>
      <protection locked="true" hidden="false"/>
    </xf>
    <xf numFmtId="171" fontId="7" fillId="0" borderId="2" xfId="0" applyFont="true" applyBorder="true" applyAlignment="true" applyProtection="false">
      <alignment horizontal="general" vertical="top" textRotation="0" wrapText="true" indent="0" shrinkToFit="false"/>
      <protection locked="true" hidden="false"/>
    </xf>
    <xf numFmtId="166" fontId="9" fillId="0" borderId="2" xfId="0" applyFont="true" applyBorder="true" applyAlignment="true" applyProtection="false">
      <alignment horizontal="general" vertical="top"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28" fillId="0" borderId="2" xfId="0" applyFont="true" applyBorder="true" applyAlignment="true" applyProtection="false">
      <alignment horizontal="general" vertical="bottom" textRotation="0" wrapText="false" indent="0" shrinkToFit="false"/>
      <protection locked="true" hidden="false"/>
    </xf>
    <xf numFmtId="171" fontId="9" fillId="0" borderId="2" xfId="0" applyFont="true" applyBorder="true" applyAlignment="true" applyProtection="false">
      <alignment horizontal="general" vertical="top" textRotation="0" wrapText="false" indent="0" shrinkToFit="false"/>
      <protection locked="true" hidden="false"/>
    </xf>
    <xf numFmtId="172" fontId="7" fillId="0" borderId="2" xfId="0" applyFont="true" applyBorder="true" applyAlignment="true" applyProtection="false">
      <alignment horizontal="general" vertical="top" textRotation="0" wrapText="true" indent="0" shrinkToFit="false"/>
      <protection locked="true" hidden="false"/>
    </xf>
    <xf numFmtId="167" fontId="7" fillId="0" borderId="2" xfId="0" applyFont="true" applyBorder="true" applyAlignment="true" applyProtection="false">
      <alignment horizontal="general" vertical="top" textRotation="0" wrapText="false" indent="0" shrinkToFit="false"/>
      <protection locked="true" hidden="false"/>
    </xf>
    <xf numFmtId="173" fontId="9" fillId="0" borderId="2" xfId="0" applyFont="true" applyBorder="true" applyAlignment="true" applyProtection="false">
      <alignment horizontal="general" vertical="top" textRotation="0" wrapText="false" indent="0" shrinkToFit="false"/>
      <protection locked="true" hidden="false"/>
    </xf>
    <xf numFmtId="167" fontId="9" fillId="0" borderId="2" xfId="0" applyFont="true" applyBorder="true" applyAlignment="true" applyProtection="false">
      <alignment horizontal="general" vertical="top" textRotation="0" wrapText="false" indent="0" shrinkToFit="false"/>
      <protection locked="true" hidden="false"/>
    </xf>
    <xf numFmtId="167" fontId="9" fillId="0" borderId="2" xfId="0" applyFont="true" applyBorder="true" applyAlignment="true" applyProtection="false">
      <alignment horizontal="general" vertical="top" textRotation="0" wrapText="true" indent="0" shrinkToFit="false"/>
      <protection locked="true" hidden="false"/>
    </xf>
    <xf numFmtId="168" fontId="9" fillId="0" borderId="2" xfId="0" applyFont="true" applyBorder="true" applyAlignment="true" applyProtection="false">
      <alignment horizontal="general" vertical="top" textRotation="0" wrapText="false" indent="0" shrinkToFit="false"/>
      <protection locked="true" hidden="false"/>
    </xf>
    <xf numFmtId="164" fontId="32" fillId="0" borderId="0" xfId="0" applyFont="true" applyBorder="true" applyAlignment="true" applyProtection="false">
      <alignment horizontal="general" vertical="top" textRotation="0" wrapText="true" indent="0" shrinkToFit="false"/>
      <protection locked="true" hidden="false"/>
    </xf>
    <xf numFmtId="173" fontId="28" fillId="3" borderId="2" xfId="0" applyFont="true" applyBorder="true" applyAlignment="true" applyProtection="false">
      <alignment horizontal="general" vertical="top" textRotation="0" wrapText="false" indent="0" shrinkToFit="false"/>
      <protection locked="true" hidden="false"/>
    </xf>
    <xf numFmtId="173" fontId="7" fillId="0" borderId="2" xfId="0" applyFont="true" applyBorder="true" applyAlignment="true" applyProtection="false">
      <alignment horizontal="general" vertical="top" textRotation="0" wrapText="false" indent="0" shrinkToFit="false"/>
      <protection locked="true" hidden="false"/>
    </xf>
    <xf numFmtId="164" fontId="0" fillId="3" borderId="2" xfId="0" applyFont="false" applyBorder="true" applyAlignment="true" applyProtection="false">
      <alignment horizontal="general" vertical="bottom" textRotation="0" wrapText="false" indent="0" shrinkToFit="false"/>
      <protection locked="true" hidden="false"/>
    </xf>
    <xf numFmtId="175" fontId="7" fillId="0" borderId="2" xfId="0" applyFont="true" applyBorder="true" applyAlignment="true" applyProtection="false">
      <alignment horizontal="general" vertical="top" textRotation="0" wrapText="false" indent="0" shrinkToFit="false"/>
      <protection locked="true" hidden="false"/>
    </xf>
    <xf numFmtId="168" fontId="7" fillId="3" borderId="2" xfId="0" applyFont="true" applyBorder="true" applyAlignment="true" applyProtection="false">
      <alignment horizontal="general" vertical="top" textRotation="0" wrapText="false" indent="0" shrinkToFit="false"/>
      <protection locked="true" hidden="false"/>
    </xf>
    <xf numFmtId="171" fontId="7" fillId="3" borderId="2" xfId="0" applyFont="true" applyBorder="true" applyAlignment="true" applyProtection="false">
      <alignment horizontal="general" vertical="top" textRotation="0" wrapText="false" indent="0" shrinkToFit="false"/>
      <protection locked="true" hidden="false"/>
    </xf>
    <xf numFmtId="175" fontId="7" fillId="3" borderId="2" xfId="0" applyFont="true" applyBorder="true" applyAlignment="true" applyProtection="false">
      <alignment horizontal="general" vertical="top" textRotation="0" wrapText="false" indent="0" shrinkToFit="false"/>
      <protection locked="true" hidden="false"/>
    </xf>
    <xf numFmtId="164" fontId="28" fillId="3" borderId="2" xfId="0" applyFont="true" applyBorder="true" applyAlignment="true" applyProtection="false">
      <alignment horizontal="general" vertical="top" textRotation="0" wrapText="false" indent="0" shrinkToFit="false"/>
      <protection locked="true" hidden="false"/>
    </xf>
    <xf numFmtId="168" fontId="7" fillId="0" borderId="2" xfId="0" applyFont="true" applyBorder="true" applyAlignment="true" applyProtection="false">
      <alignment horizontal="general" vertical="bottom" textRotation="0" wrapText="false" indent="0" shrinkToFit="false"/>
      <protection locked="true" hidden="false"/>
    </xf>
    <xf numFmtId="179" fontId="7" fillId="0" borderId="2" xfId="0" applyFont="true" applyBorder="true" applyAlignment="true" applyProtection="false">
      <alignment horizontal="general" vertical="bottom" textRotation="0" wrapText="false" indent="0" shrinkToFit="false"/>
      <protection locked="true" hidden="false"/>
    </xf>
    <xf numFmtId="173" fontId="7" fillId="0" borderId="2" xfId="0" applyFont="true" applyBorder="true" applyAlignment="true" applyProtection="false">
      <alignment horizontal="general" vertical="bottom" textRotation="0" wrapText="false" indent="0" shrinkToFit="false"/>
      <protection locked="true" hidden="false"/>
    </xf>
    <xf numFmtId="166" fontId="33" fillId="0" borderId="2" xfId="0" applyFont="true" applyBorder="true" applyAlignment="true" applyProtection="false">
      <alignment horizontal="general" vertical="top" textRotation="0" wrapText="false" indent="0" shrinkToFit="false"/>
      <protection locked="true" hidden="false"/>
    </xf>
    <xf numFmtId="173" fontId="33" fillId="0" borderId="2" xfId="0" applyFont="true" applyBorder="true" applyAlignment="true" applyProtection="false">
      <alignment horizontal="general" vertical="top" textRotation="0" wrapText="false" indent="0" shrinkToFit="false"/>
      <protection locked="true" hidden="false"/>
    </xf>
    <xf numFmtId="166" fontId="27" fillId="0" borderId="2" xfId="0" applyFont="true" applyBorder="true" applyAlignment="true" applyProtection="false">
      <alignment horizontal="general" vertical="top" textRotation="0" wrapText="true" indent="0" shrinkToFit="false"/>
      <protection locked="true" hidden="false"/>
    </xf>
    <xf numFmtId="180" fontId="7" fillId="0" borderId="2" xfId="0" applyFont="true" applyBorder="true" applyAlignment="true" applyProtection="false">
      <alignment horizontal="general" vertical="top" textRotation="0" wrapText="true" indent="0" shrinkToFit="false"/>
      <protection locked="true" hidden="false"/>
    </xf>
    <xf numFmtId="180" fontId="7" fillId="0" borderId="2" xfId="0" applyFont="true" applyBorder="true" applyAlignment="true" applyProtection="false">
      <alignment horizontal="general" vertical="top" textRotation="0" wrapText="false" indent="0" shrinkToFit="false"/>
      <protection locked="true" hidden="false"/>
    </xf>
    <xf numFmtId="181" fontId="7" fillId="0" borderId="2" xfId="0" applyFont="true" applyBorder="true" applyAlignment="true" applyProtection="false">
      <alignment horizontal="general" vertical="top" textRotation="0" wrapText="false" indent="0" shrinkToFit="false"/>
      <protection locked="true" hidden="false"/>
    </xf>
    <xf numFmtId="176" fontId="9" fillId="0" borderId="2" xfId="0" applyFont="true" applyBorder="true" applyAlignment="true" applyProtection="false">
      <alignment horizontal="general" vertical="top" textRotation="0" wrapText="false" indent="0" shrinkToFit="false"/>
      <protection locked="true" hidden="false"/>
    </xf>
    <xf numFmtId="164" fontId="34" fillId="0" borderId="0" xfId="0" applyFont="true" applyBorder="false" applyAlignment="true" applyProtection="false">
      <alignment horizontal="general" vertical="top" textRotation="0" wrapText="true" indent="0" shrinkToFit="false"/>
      <protection locked="true" hidden="false"/>
    </xf>
    <xf numFmtId="180" fontId="27" fillId="0" borderId="2" xfId="0" applyFont="true" applyBorder="true" applyAlignment="true" applyProtection="false">
      <alignment horizontal="general" vertical="top" textRotation="0" wrapText="true" indent="0" shrinkToFit="false"/>
      <protection locked="true" hidden="false"/>
    </xf>
    <xf numFmtId="182" fontId="7" fillId="0" borderId="2" xfId="0" applyFont="true" applyBorder="true" applyAlignment="true" applyProtection="false">
      <alignment horizontal="general" vertical="top" textRotation="0" wrapText="false" indent="0" shrinkToFit="false"/>
      <protection locked="true" hidden="false"/>
    </xf>
    <xf numFmtId="164" fontId="35" fillId="0" borderId="2" xfId="0" applyFont="true" applyBorder="true" applyAlignment="true" applyProtection="false">
      <alignment horizontal="general" vertical="top" textRotation="0" wrapText="true" indent="0" shrinkToFit="false"/>
      <protection locked="true" hidden="false"/>
    </xf>
    <xf numFmtId="167" fontId="28" fillId="0" borderId="2" xfId="0" applyFont="true" applyBorder="true" applyAlignment="true" applyProtection="false">
      <alignment horizontal="general" vertical="top" textRotation="0" wrapText="false" indent="0" shrinkToFit="false"/>
      <protection locked="true" hidden="false"/>
    </xf>
    <xf numFmtId="168" fontId="27" fillId="0" borderId="2" xfId="0" applyFont="true" applyBorder="true" applyAlignment="true" applyProtection="false">
      <alignment horizontal="general" vertical="top" textRotation="0" wrapText="true" indent="0" shrinkToFit="false"/>
      <protection locked="true" hidden="false"/>
    </xf>
    <xf numFmtId="179" fontId="7" fillId="0" borderId="2" xfId="0" applyFont="true" applyBorder="true" applyAlignment="true" applyProtection="false">
      <alignment horizontal="general" vertical="top" textRotation="0" wrapText="false" indent="0" shrinkToFit="false"/>
      <protection locked="true" hidden="false"/>
    </xf>
    <xf numFmtId="183" fontId="7" fillId="0" borderId="2" xfId="0" applyFont="true" applyBorder="true" applyAlignment="true" applyProtection="false">
      <alignment horizontal="general" vertical="bottom" textRotation="0" wrapText="false" indent="0" shrinkToFit="false"/>
      <protection locked="true" hidden="false"/>
    </xf>
    <xf numFmtId="179" fontId="9" fillId="0" borderId="2" xfId="0" applyFont="true" applyBorder="true" applyAlignment="true" applyProtection="false">
      <alignment horizontal="general" vertical="top" textRotation="0" wrapText="false" indent="0" shrinkToFit="false"/>
      <protection locked="true" hidden="false"/>
    </xf>
    <xf numFmtId="164" fontId="34" fillId="0" borderId="1" xfId="0" applyFont="true" applyBorder="true" applyAlignment="true" applyProtection="false">
      <alignment horizontal="general" vertical="top" textRotation="0" wrapText="true" indent="0" shrinkToFit="false"/>
      <protection locked="true" hidden="false"/>
    </xf>
    <xf numFmtId="164" fontId="34" fillId="0" borderId="1" xfId="0" applyFont="true" applyBorder="true" applyAlignment="true" applyProtection="false">
      <alignment horizontal="general" vertical="bottom" textRotation="0" wrapText="false" indent="0" shrinkToFit="false"/>
      <protection locked="true" hidden="false"/>
    </xf>
    <xf numFmtId="164" fontId="27" fillId="0" borderId="1" xfId="0" applyFont="true" applyBorder="true" applyAlignment="true" applyProtection="false">
      <alignment horizontal="general" vertical="top" textRotation="0" wrapText="true" indent="0" shrinkToFit="false"/>
      <protection locked="true" hidden="false"/>
    </xf>
    <xf numFmtId="180" fontId="7" fillId="0" borderId="1" xfId="0" applyFont="true" applyBorder="true" applyAlignment="true" applyProtection="false">
      <alignment horizontal="general" vertical="top" textRotation="0" wrapText="true" indent="0" shrinkToFit="false"/>
      <protection locked="true" hidden="false"/>
    </xf>
    <xf numFmtId="168" fontId="7" fillId="0"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general" vertical="top" textRotation="0" wrapText="true" indent="0" shrinkToFit="false"/>
      <protection locked="true" hidden="false"/>
    </xf>
    <xf numFmtId="164" fontId="27" fillId="0" borderId="2" xfId="0" applyFont="true" applyBorder="true" applyAlignment="true" applyProtection="false">
      <alignment horizontal="general" vertical="top" textRotation="0" wrapText="true" indent="0" shrinkToFit="false"/>
      <protection locked="true" hidden="false"/>
    </xf>
    <xf numFmtId="166" fontId="7" fillId="0" borderId="2" xfId="0" applyFont="true" applyBorder="true" applyAlignment="true" applyProtection="false">
      <alignment horizontal="general" vertical="top" textRotation="0" wrapText="true" indent="0" shrinkToFit="false"/>
      <protection locked="true" hidden="false"/>
    </xf>
    <xf numFmtId="170" fontId="7" fillId="0" borderId="2" xfId="0" applyFont="true" applyBorder="true" applyAlignment="true" applyProtection="false">
      <alignment horizontal="general" vertical="bottom" textRotation="0" wrapText="false" indent="0" shrinkToFit="false"/>
      <protection locked="true" hidden="false"/>
    </xf>
    <xf numFmtId="164" fontId="34" fillId="0" borderId="2" xfId="0" applyFont="true" applyBorder="true" applyAlignment="true" applyProtection="false">
      <alignment horizontal="general" vertical="bottom" textRotation="0" wrapText="false" indent="0" shrinkToFit="false"/>
      <protection locked="true" hidden="false"/>
    </xf>
    <xf numFmtId="178" fontId="7" fillId="0" borderId="2" xfId="0" applyFont="true" applyBorder="true" applyAlignment="true" applyProtection="false">
      <alignment horizontal="general" vertical="bottom" textRotation="0" wrapText="false" indent="0" shrinkToFit="false"/>
      <protection locked="true" hidden="false"/>
    </xf>
    <xf numFmtId="174" fontId="7" fillId="0" borderId="2" xfId="0" applyFont="true" applyBorder="true" applyAlignment="true" applyProtection="false">
      <alignment horizontal="general" vertical="bottom" textRotation="0" wrapText="false" indent="0" shrinkToFit="false"/>
      <protection locked="true" hidden="false"/>
    </xf>
    <xf numFmtId="176" fontId="7" fillId="0" borderId="2" xfId="0" applyFont="true" applyBorder="true" applyAlignment="true" applyProtection="false">
      <alignment horizontal="general" vertical="bottom" textRotation="0" wrapText="false" indent="0" shrinkToFit="false"/>
      <protection locked="true" hidden="false"/>
    </xf>
    <xf numFmtId="169" fontId="7" fillId="0" borderId="2" xfId="0" applyFont="true" applyBorder="true" applyAlignment="true" applyProtection="false">
      <alignment horizontal="general" vertical="bottom" textRotation="0" wrapText="false" indent="0" shrinkToFit="false"/>
      <protection locked="true" hidden="false"/>
    </xf>
    <xf numFmtId="184" fontId="7" fillId="0" borderId="2" xfId="0" applyFont="true" applyBorder="true" applyAlignment="true" applyProtection="false">
      <alignment horizontal="general" vertical="bottom" textRotation="0" wrapText="false" indent="0" shrinkToFit="false"/>
      <protection locked="true" hidden="false"/>
    </xf>
    <xf numFmtId="164" fontId="36" fillId="0" borderId="2" xfId="0" applyFont="true" applyBorder="true" applyAlignment="true" applyProtection="false">
      <alignment horizontal="center" vertical="top" textRotation="0" wrapText="false" indent="0" shrinkToFit="false"/>
      <protection locked="true" hidden="false"/>
    </xf>
    <xf numFmtId="164" fontId="5" fillId="0" borderId="2"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85" fontId="11" fillId="0" borderId="2" xfId="0" applyFont="true" applyBorder="true" applyAlignment="true" applyProtection="false">
      <alignment horizontal="general" vertical="bottom" textRotation="0" wrapText="false" indent="0" shrinkToFit="false"/>
      <protection locked="true" hidden="false"/>
    </xf>
    <xf numFmtId="186" fontId="37" fillId="0" borderId="2" xfId="0" applyFont="true" applyBorder="true" applyAlignment="true" applyProtection="false">
      <alignment horizontal="general" vertical="bottom" textRotation="0" wrapText="false" indent="0" shrinkToFit="false"/>
      <protection locked="true" hidden="false"/>
    </xf>
    <xf numFmtId="185" fontId="37" fillId="0" borderId="2" xfId="0" applyFont="true" applyBorder="true" applyAlignment="true" applyProtection="false">
      <alignment horizontal="general" vertical="bottom" textRotation="0" wrapText="false" indent="0" shrinkToFit="false"/>
      <protection locked="true" hidden="false"/>
    </xf>
    <xf numFmtId="187" fontId="11" fillId="0" borderId="2" xfId="0" applyFont="true" applyBorder="true" applyAlignment="true" applyProtection="false">
      <alignment horizontal="general" vertical="bottom" textRotation="0" wrapText="false" indent="0" shrinkToFit="false"/>
      <protection locked="true" hidden="false"/>
    </xf>
    <xf numFmtId="188" fontId="27" fillId="0" borderId="2" xfId="0" applyFont="true" applyBorder="true" applyAlignment="true" applyProtection="false">
      <alignment horizontal="general" vertical="top" textRotation="0" wrapText="false" indent="0" shrinkToFit="false"/>
      <protection locked="true" hidden="false"/>
    </xf>
    <xf numFmtId="170" fontId="7" fillId="0" borderId="2" xfId="0" applyFont="true" applyBorder="true" applyAlignment="true" applyProtection="false">
      <alignment horizontal="general" vertical="top" textRotation="0" wrapText="false" indent="0" shrinkToFit="false"/>
      <protection locked="true" hidden="false"/>
    </xf>
    <xf numFmtId="165" fontId="27" fillId="0" borderId="2" xfId="0" applyFont="true" applyBorder="true" applyAlignment="true" applyProtection="false">
      <alignment horizontal="general" vertical="top" textRotation="0" wrapText="false" indent="0" shrinkToFit="false"/>
      <protection locked="true" hidden="false"/>
    </xf>
    <xf numFmtId="170" fontId="27" fillId="0" borderId="2" xfId="0" applyFont="true" applyBorder="true" applyAlignment="true" applyProtection="false">
      <alignment horizontal="general" vertical="top" textRotation="0" wrapText="false" indent="0" shrinkToFit="false"/>
      <protection locked="true" hidden="false"/>
    </xf>
    <xf numFmtId="188" fontId="28" fillId="0" borderId="2" xfId="0" applyFont="true" applyBorder="true" applyAlignment="true" applyProtection="false">
      <alignment horizontal="general" vertical="top" textRotation="0" wrapText="false" indent="0" shrinkToFit="false"/>
      <protection locked="true" hidden="false"/>
    </xf>
    <xf numFmtId="174" fontId="9" fillId="4" borderId="2" xfId="0" applyFont="true" applyBorder="true" applyAlignment="true" applyProtection="false">
      <alignment horizontal="center" vertical="top" textRotation="0" wrapText="false" indent="0" shrinkToFit="false"/>
      <protection locked="true" hidden="false"/>
    </xf>
    <xf numFmtId="172" fontId="9" fillId="4" borderId="2" xfId="0" applyFont="true" applyBorder="true" applyAlignment="true" applyProtection="false">
      <alignment horizontal="center" vertical="top" textRotation="0" wrapText="false" indent="0" shrinkToFit="false"/>
      <protection locked="true" hidden="false"/>
    </xf>
    <xf numFmtId="186" fontId="9" fillId="0" borderId="1" xfId="0" applyFont="true" applyBorder="true" applyAlignment="true" applyProtection="false">
      <alignment horizontal="general" vertical="bottom" textRotation="0" wrapText="false" indent="0" shrinkToFit="false"/>
      <protection locked="true" hidden="false"/>
    </xf>
    <xf numFmtId="185" fontId="7" fillId="0" borderId="2" xfId="0" applyFont="true" applyBorder="true" applyAlignment="true" applyProtection="false">
      <alignment horizontal="general" vertical="bottom" textRotation="0" wrapText="false" indent="0" shrinkToFit="false"/>
      <protection locked="true" hidden="false"/>
    </xf>
    <xf numFmtId="185" fontId="11" fillId="0" borderId="1" xfId="0" applyFont="true" applyBorder="true" applyAlignment="true" applyProtection="false">
      <alignment horizontal="general" vertical="bottom" textRotation="0" wrapText="false" indent="0" shrinkToFit="false"/>
      <protection locked="true" hidden="false"/>
    </xf>
    <xf numFmtId="185" fontId="9" fillId="0" borderId="2" xfId="0" applyFont="true" applyBorder="true" applyAlignment="true" applyProtection="false">
      <alignment horizontal="general" vertical="bottom" textRotation="0" wrapText="false" indent="0" shrinkToFit="false"/>
      <protection locked="true" hidden="false"/>
    </xf>
    <xf numFmtId="189" fontId="7" fillId="0" borderId="2" xfId="0" applyFont="true" applyBorder="true" applyAlignment="true" applyProtection="false">
      <alignment horizontal="general" vertical="bottom" textRotation="0" wrapText="false" indent="0" shrinkToFit="false"/>
      <protection locked="true" hidden="false"/>
    </xf>
    <xf numFmtId="187" fontId="27" fillId="0" borderId="2" xfId="0" applyFont="true" applyBorder="true" applyAlignment="true" applyProtection="false">
      <alignment horizontal="general" vertical="bottom" textRotation="0" wrapText="false" indent="0" shrinkToFit="false"/>
      <protection locked="true" hidden="false"/>
    </xf>
    <xf numFmtId="187" fontId="7" fillId="0" borderId="0" xfId="0" applyFont="true" applyBorder="false" applyAlignment="true" applyProtection="false">
      <alignment horizontal="general" vertical="bottom" textRotation="0" wrapText="false" indent="0" shrinkToFit="false"/>
      <protection locked="true" hidden="false"/>
    </xf>
    <xf numFmtId="187" fontId="7" fillId="0" borderId="2" xfId="0" applyFont="true" applyBorder="true" applyAlignment="true" applyProtection="false">
      <alignment horizontal="general" vertical="bottom" textRotation="0" wrapText="false" indent="0" shrinkToFit="false"/>
      <protection locked="true" hidden="false"/>
    </xf>
    <xf numFmtId="187" fontId="9" fillId="4" borderId="2" xfId="0" applyFont="true" applyBorder="true" applyAlignment="true" applyProtection="false">
      <alignment horizontal="general" vertical="bottom" textRotation="0" wrapText="false" indent="0" shrinkToFit="false"/>
      <protection locked="true" hidden="false"/>
    </xf>
    <xf numFmtId="164" fontId="34" fillId="0" borderId="2" xfId="0" applyFont="true" applyBorder="true" applyAlignment="true" applyProtection="false">
      <alignment horizontal="general" vertical="top" textRotation="0" wrapText="true" indent="0" shrinkToFit="false"/>
      <protection locked="true" hidden="false"/>
    </xf>
    <xf numFmtId="187" fontId="11" fillId="0" borderId="1" xfId="0" applyFont="true" applyBorder="true" applyAlignment="true" applyProtection="false">
      <alignment horizontal="general" vertical="bottom" textRotation="0" wrapText="false" indent="0" shrinkToFit="false"/>
      <protection locked="true" hidden="false"/>
    </xf>
    <xf numFmtId="164" fontId="38" fillId="0" borderId="2" xfId="0" applyFont="true" applyBorder="tru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71" fontId="28" fillId="0" borderId="2" xfId="0" applyFont="true" applyBorder="true" applyAlignment="true" applyProtection="false">
      <alignment horizontal="general" vertical="top" textRotation="0" wrapText="false" indent="0" shrinkToFit="false"/>
      <protection locked="true" hidden="false"/>
    </xf>
    <xf numFmtId="172" fontId="7" fillId="0" borderId="2" xfId="0" applyFont="true" applyBorder="true" applyAlignment="true" applyProtection="false">
      <alignment horizontal="general" vertical="bottom" textRotation="0" wrapText="false" indent="0" shrinkToFit="false"/>
      <protection locked="true" hidden="false"/>
    </xf>
    <xf numFmtId="172" fontId="7" fillId="0" borderId="2" xfId="0" applyFont="true" applyBorder="true" applyAlignment="true" applyProtection="false">
      <alignment horizontal="general" vertical="top" textRotation="0" wrapText="false" indent="0" shrinkToFit="false"/>
      <protection locked="true" hidden="false"/>
    </xf>
    <xf numFmtId="182" fontId="9" fillId="0" borderId="2" xfId="0" applyFont="true" applyBorder="true" applyAlignment="true" applyProtection="false">
      <alignment horizontal="general" vertical="top" textRotation="0" wrapText="false" indent="0" shrinkToFit="false"/>
      <protection locked="true" hidden="false"/>
    </xf>
    <xf numFmtId="166" fontId="28" fillId="3" borderId="2" xfId="0" applyFont="true" applyBorder="true" applyAlignment="true" applyProtection="false">
      <alignment horizontal="general" vertical="top" textRotation="0" wrapText="false" indent="0" shrinkToFit="false"/>
      <protection locked="true" hidden="false"/>
    </xf>
    <xf numFmtId="168" fontId="28" fillId="3" borderId="2" xfId="0" applyFont="true" applyBorder="true" applyAlignment="true" applyProtection="false">
      <alignment horizontal="general" vertical="top" textRotation="0" wrapText="false" indent="0" shrinkToFit="false"/>
      <protection locked="true" hidden="false"/>
    </xf>
    <xf numFmtId="172" fontId="28" fillId="3" borderId="2" xfId="0" applyFont="true" applyBorder="true" applyAlignment="true" applyProtection="false">
      <alignment horizontal="general" vertical="top" textRotation="0" wrapText="false" indent="0" shrinkToFit="false"/>
      <protection locked="true" hidden="false"/>
    </xf>
    <xf numFmtId="164" fontId="12" fillId="3" borderId="3" xfId="0" applyFont="true" applyBorder="true" applyAlignment="true" applyProtection="false">
      <alignment horizontal="general" vertical="top" textRotation="0" wrapText="true" indent="0" shrinkToFit="false"/>
      <protection locked="true" hidden="false"/>
    </xf>
    <xf numFmtId="175" fontId="27" fillId="0" borderId="2" xfId="0" applyFont="true" applyBorder="true" applyAlignment="true" applyProtection="false">
      <alignment horizontal="general" vertical="top" textRotation="0" wrapText="true" indent="0" shrinkToFit="false"/>
      <protection locked="true" hidden="false"/>
    </xf>
    <xf numFmtId="167" fontId="27" fillId="0" borderId="2" xfId="0" applyFont="true" applyBorder="true" applyAlignment="true" applyProtection="false">
      <alignment horizontal="general" vertical="top" textRotation="0" wrapText="true" indent="0" shrinkToFit="false"/>
      <protection locked="true" hidden="false"/>
    </xf>
    <xf numFmtId="190" fontId="7" fillId="0" borderId="2" xfId="0" applyFont="true" applyBorder="true" applyAlignment="true" applyProtection="false">
      <alignment horizontal="general" vertical="top" textRotation="0" wrapText="false" indent="0" shrinkToFit="false"/>
      <protection locked="true" hidden="false"/>
    </xf>
    <xf numFmtId="164" fontId="25" fillId="0" borderId="0" xfId="0" applyFont="true" applyBorder="false" applyAlignment="true" applyProtection="false">
      <alignment horizontal="general" vertical="top" textRotation="0" wrapText="true" indent="0" shrinkToFit="false"/>
      <protection locked="true" hidden="false"/>
    </xf>
    <xf numFmtId="168" fontId="9" fillId="0" borderId="2" xfId="0" applyFont="true" applyBorder="true" applyAlignment="true" applyProtection="false">
      <alignment horizontal="general" vertical="top" textRotation="0" wrapText="true" indent="0" shrinkToFit="false"/>
      <protection locked="true" hidden="false"/>
    </xf>
    <xf numFmtId="164" fontId="28" fillId="0" borderId="2"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6" fontId="26" fillId="0" borderId="2"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00294C"/>
          <bgColor rgb="FF000000"/>
        </patternFill>
      </fill>
    </dxf>
    <dxf>
      <fill>
        <patternFill patternType="solid">
          <fgColor rgb="FFF2F4F6"/>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008000"/>
          <bgColor rgb="FF000000"/>
        </patternFill>
      </fill>
    </dxf>
    <dxf>
      <fill>
        <patternFill patternType="solid">
          <fgColor rgb="FFC00000"/>
          <bgColor rgb="FF000000"/>
        </patternFill>
      </fill>
    </dxf>
  </dxfs>
  <colors>
    <indexedColors>
      <rgbColor rgb="FF000000"/>
      <rgbColor rgb="FFFFFFFF"/>
      <rgbColor rgb="FFFF0000"/>
      <rgbColor rgb="FF00FF00"/>
      <rgbColor rgb="FF0000FF"/>
      <rgbColor rgb="FFFFFF00"/>
      <rgbColor rgb="FFFF00FF"/>
      <rgbColor rgb="FF00FFFF"/>
      <rgbColor rgb="FFC00000"/>
      <rgbColor rgb="FF008000"/>
      <rgbColor rgb="FF000080"/>
      <rgbColor rgb="FFB07D2B"/>
      <rgbColor rgb="FF800080"/>
      <rgbColor rgb="FF1F6F8B"/>
      <rgbColor rgb="FFB3B3B3"/>
      <rgbColor rgb="FF6B7C8C"/>
      <rgbColor rgb="FF8C9BA5"/>
      <rgbColor rgb="FF993366"/>
      <rgbColor rgb="FFF2F4F6"/>
      <rgbColor rgb="FFF2F6F9"/>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DDE1"/>
      <rgbColor rgb="FFD9DEE3"/>
      <rgbColor rgb="FFFFFF99"/>
      <rgbColor rgb="FF99CCFF"/>
      <rgbColor rgb="FFFF99CC"/>
      <rgbColor rgb="FFCC99FF"/>
      <rgbColor rgb="FFFFCC99"/>
      <rgbColor rgb="FF3E7CB1"/>
      <rgbColor rgb="FF33CCCC"/>
      <rgbColor rgb="FF99CC00"/>
      <rgbColor rgb="FFFFCC00"/>
      <rgbColor rgb="FFFF9900"/>
      <rgbColor rgb="FFFF6600"/>
      <rgbColor rgb="FF7A5195"/>
      <rgbColor rgb="FF999999"/>
      <rgbColor rgb="FF00294C"/>
      <rgbColor rgb="FF2E7D6B"/>
      <rgbColor rgb="FF003300"/>
      <rgbColor rgb="FF333300"/>
      <rgbColor rgb="FF993300"/>
      <rgbColor rgb="FF993366"/>
      <rgbColor rgb="FF333399"/>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Total acute-to-acute
episodes</a:t>
            </a:r>
          </a:p>
        </c:rich>
      </c:tx>
      <c:overlay val="0"/>
      <c:spPr>
        <a:noFill/>
        <a:ln w="0">
          <a:noFill/>
        </a:ln>
      </c:spPr>
    </c:title>
    <c:autoTitleDeleted val="0"/>
    <c:plotArea>
      <c:barChart>
        <c:barDir val="col"/>
        <c:grouping val="clustered"/>
        <c:varyColors val="0"/>
        <c:ser>
          <c:idx val="0"/>
          <c:order val="0"/>
          <c:tx>
            <c:strRef>
              <c:f>Acute_IFT_Series!D4</c:f>
              <c:strCache>
                <c:ptCount val="1"/>
                <c:pt idx="0">
                  <c:v>Total acute-to-acute
episodes</c:v>
                </c:pt>
              </c:strCache>
            </c:strRef>
          </c:tx>
          <c:spPr>
            <a:solidFill>
              <a:srgbClr val="00294c"/>
            </a:solidFill>
            <a:ln w="25920">
              <a:solidFill>
                <a:srgbClr val="00294c"/>
              </a:solidFill>
              <a:round/>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Acute_IFT_Series!$A$5:$A$21</c:f>
              <c:strCache>
                <c:ptCount val="17"/>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strCache>
            </c:strRef>
          </c:cat>
          <c:val>
            <c:numRef>
              <c:f>Acute_IFT_Series!$D$5:$D$21</c:f>
              <c:numCache>
                <c:formatCode>#,##0;\(#,##0\);\-</c:formatCode>
                <c:ptCount val="17"/>
                <c:pt idx="0">
                  <c:v>2221083</c:v>
                </c:pt>
                <c:pt idx="1">
                  <c:v>2517472</c:v>
                </c:pt>
                <c:pt idx="2">
                  <c:v>2741505</c:v>
                </c:pt>
                <c:pt idx="3">
                  <c:v>2778109</c:v>
                </c:pt>
                <c:pt idx="4">
                  <c:v>2826982</c:v>
                </c:pt>
                <c:pt idx="5">
                  <c:v>2899893</c:v>
                </c:pt>
                <c:pt idx="6">
                  <c:v>2754782</c:v>
                </c:pt>
                <c:pt idx="7">
                  <c:v>2754423</c:v>
                </c:pt>
                <c:pt idx="8">
                  <c:v>2741420</c:v>
                </c:pt>
                <c:pt idx="9">
                  <c:v>3059001</c:v>
                </c:pt>
                <c:pt idx="10">
                  <c:v>3039299</c:v>
                </c:pt>
                <c:pt idx="11">
                  <c:v>2997175</c:v>
                </c:pt>
                <c:pt idx="12">
                  <c:v>3234266</c:v>
                </c:pt>
                <c:pt idx="13">
                  <c:v>3002569</c:v>
                </c:pt>
                <c:pt idx="14">
                  <c:v>2954527</c:v>
                </c:pt>
                <c:pt idx="15">
                  <c:v>2929273</c:v>
                </c:pt>
                <c:pt idx="16">
                  <c:v>3185144</c:v>
                </c:pt>
              </c:numCache>
            </c:numRef>
          </c:val>
        </c:ser>
        <c:gapWidth val="150"/>
        <c:overlap val="0"/>
        <c:axId val="73321292"/>
        <c:axId val="95270273"/>
      </c:barChart>
      <c:catAx>
        <c:axId val="73321292"/>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95270273"/>
        <c:crosses val="autoZero"/>
        <c:auto val="1"/>
        <c:lblAlgn val="ctr"/>
        <c:lblOffset val="100"/>
        <c:noMultiLvlLbl val="0"/>
      </c:catAx>
      <c:valAx>
        <c:axId val="95270273"/>
        <c:scaling>
          <c:orientation val="minMax"/>
        </c:scaling>
        <c:delete val="0"/>
        <c:axPos val="l"/>
        <c:majorGridlines>
          <c:spPr>
            <a:ln w="0">
              <a:solidFill>
                <a:srgbClr val="b3b3b3"/>
              </a:solidFill>
            </a:ln>
          </c:spPr>
        </c:majorGridlines>
        <c:numFmt formatCode="#,##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7332129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Acute transfers by origin channel</a:t>
            </a:r>
          </a:p>
        </c:rich>
      </c:tx>
      <c:overlay val="0"/>
      <c:spPr>
        <a:noFill/>
        <a:ln w="0">
          <a:noFill/>
        </a:ln>
      </c:spPr>
    </c:title>
    <c:autoTitleDeleted val="0"/>
    <c:plotArea>
      <c:lineChart>
        <c:grouping val="standard"/>
        <c:varyColors val="0"/>
        <c:ser>
          <c:idx val="0"/>
          <c:order val="0"/>
          <c:tx>
            <c:strRef>
              <c:f>Acute_IFT_Series!B4</c:f>
              <c:strCache>
                <c:ptCount val="1"/>
                <c:pt idx="0">
                  <c:v>ED-origin episodes
NEDS DISP_ED = 2</c:v>
                </c:pt>
              </c:strCache>
            </c:strRef>
          </c:tx>
          <c:spPr>
            <a:solidFill>
              <a:srgbClr val="00294c"/>
            </a:solidFill>
            <a:ln w="25920">
              <a:solidFill>
                <a:srgbClr val="00294c"/>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Acute_IFT_Series!$A$5:$A$21</c:f>
              <c:strCache>
                <c:ptCount val="17"/>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strCache>
            </c:strRef>
          </c:cat>
          <c:val>
            <c:numRef>
              <c:f>Acute_IFT_Series!$B$5:$B$21</c:f>
              <c:numCache>
                <c:formatCode>#,##0;\(#,##0\);\-</c:formatCode>
                <c:ptCount val="17"/>
                <c:pt idx="0">
                  <c:v>1383929</c:v>
                </c:pt>
                <c:pt idx="1">
                  <c:v>1639779</c:v>
                </c:pt>
                <c:pt idx="2">
                  <c:v>1877016</c:v>
                </c:pt>
                <c:pt idx="3">
                  <c:v>1942692</c:v>
                </c:pt>
                <c:pt idx="4">
                  <c:v>2005324</c:v>
                </c:pt>
                <c:pt idx="5">
                  <c:v>2156598</c:v>
                </c:pt>
                <c:pt idx="6">
                  <c:v>2043418</c:v>
                </c:pt>
                <c:pt idx="7">
                  <c:v>2051283</c:v>
                </c:pt>
                <c:pt idx="8">
                  <c:v>2044315</c:v>
                </c:pt>
                <c:pt idx="9">
                  <c:v>2363592</c:v>
                </c:pt>
                <c:pt idx="10">
                  <c:v>2333630</c:v>
                </c:pt>
                <c:pt idx="11">
                  <c:v>2292546</c:v>
                </c:pt>
                <c:pt idx="12">
                  <c:v>2532807</c:v>
                </c:pt>
                <c:pt idx="13">
                  <c:v>2359079</c:v>
                </c:pt>
                <c:pt idx="14">
                  <c:v>2305329</c:v>
                </c:pt>
                <c:pt idx="15">
                  <c:v>2311549</c:v>
                </c:pt>
                <c:pt idx="16">
                  <c:v>2554379</c:v>
                </c:pt>
              </c:numCache>
            </c:numRef>
          </c:val>
          <c:smooth val="1"/>
        </c:ser>
        <c:ser>
          <c:idx val="1"/>
          <c:order val="1"/>
          <c:tx>
            <c:strRef>
              <c:f>Acute_IFT_Series!C4</c:f>
              <c:strCache>
                <c:ptCount val="1"/>
                <c:pt idx="0">
                  <c:v>Inpatient-origin episodes
NIS DISPUNIFORM = 2</c:v>
                </c:pt>
              </c:strCache>
            </c:strRef>
          </c:tx>
          <c:spPr>
            <a:solidFill>
              <a:srgbClr val="2e7d6b"/>
            </a:solidFill>
            <a:ln w="25920">
              <a:solidFill>
                <a:srgbClr val="2e7d6b"/>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Acute_IFT_Series!$A$5:$A$21</c:f>
              <c:strCache>
                <c:ptCount val="17"/>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strCache>
            </c:strRef>
          </c:cat>
          <c:val>
            <c:numRef>
              <c:f>Acute_IFT_Series!$C$5:$C$21</c:f>
              <c:numCache>
                <c:formatCode>#,##0;\(#,##0\);\-</c:formatCode>
                <c:ptCount val="17"/>
                <c:pt idx="0">
                  <c:v>837154</c:v>
                </c:pt>
                <c:pt idx="1">
                  <c:v>877693</c:v>
                </c:pt>
                <c:pt idx="2">
                  <c:v>864489</c:v>
                </c:pt>
                <c:pt idx="3">
                  <c:v>835417</c:v>
                </c:pt>
                <c:pt idx="4">
                  <c:v>821658</c:v>
                </c:pt>
                <c:pt idx="5">
                  <c:v>743295</c:v>
                </c:pt>
                <c:pt idx="6">
                  <c:v>711364</c:v>
                </c:pt>
                <c:pt idx="7">
                  <c:v>703140</c:v>
                </c:pt>
                <c:pt idx="8">
                  <c:v>697105</c:v>
                </c:pt>
                <c:pt idx="9">
                  <c:v>695409</c:v>
                </c:pt>
                <c:pt idx="10">
                  <c:v>705669</c:v>
                </c:pt>
                <c:pt idx="11">
                  <c:v>704629</c:v>
                </c:pt>
                <c:pt idx="12">
                  <c:v>701459</c:v>
                </c:pt>
                <c:pt idx="13">
                  <c:v>643490</c:v>
                </c:pt>
                <c:pt idx="14">
                  <c:v>649198</c:v>
                </c:pt>
                <c:pt idx="15">
                  <c:v>617724</c:v>
                </c:pt>
                <c:pt idx="16">
                  <c:v>630765</c:v>
                </c:pt>
              </c:numCache>
            </c:numRef>
          </c:val>
          <c:smooth val="1"/>
        </c:ser>
        <c:hiLowLines>
          <c:spPr>
            <a:ln w="0">
              <a:noFill/>
            </a:ln>
          </c:spPr>
        </c:hiLowLines>
        <c:marker val="0"/>
        <c:axId val="64001432"/>
        <c:axId val="4131062"/>
      </c:lineChart>
      <c:catAx>
        <c:axId val="64001432"/>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4131062"/>
        <c:crosses val="autoZero"/>
        <c:auto val="1"/>
        <c:lblAlgn val="ctr"/>
        <c:lblOffset val="100"/>
        <c:noMultiLvlLbl val="0"/>
      </c:catAx>
      <c:valAx>
        <c:axId val="4131062"/>
        <c:scaling>
          <c:orientation val="minMax"/>
        </c:scaling>
        <c:delete val="0"/>
        <c:axPos val="l"/>
        <c:majorGridlines>
          <c:spPr>
            <a:ln w="0">
              <a:solidFill>
                <a:srgbClr val="b3b3b3"/>
              </a:solidFill>
            </a:ln>
          </c:spPr>
        </c:majorGridlines>
        <c:numFmt formatCode="#,##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6400143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Transports</a:t>
            </a:r>
          </a:p>
        </c:rich>
      </c:tx>
      <c:overlay val="0"/>
      <c:spPr>
        <a:noFill/>
        <a:ln w="0">
          <a:noFill/>
        </a:ln>
      </c:spPr>
    </c:title>
    <c:autoTitleDeleted val="0"/>
    <c:plotArea>
      <c:lineChart>
        <c:grouping val="standard"/>
        <c:varyColors val="0"/>
        <c:ser>
          <c:idx val="0"/>
          <c:order val="0"/>
          <c:tx>
            <c:strRef>
              <c:f>Medicare_IFT_Series!B4</c:f>
              <c:strCache>
                <c:ptCount val="1"/>
                <c:pt idx="0">
                  <c:v>Transports</c:v>
                </c:pt>
              </c:strCache>
            </c:strRef>
          </c:tx>
          <c:spPr>
            <a:solidFill>
              <a:srgbClr val="00294c"/>
            </a:solidFill>
            <a:ln w="25920">
              <a:solidFill>
                <a:srgbClr val="00294c"/>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Medicare_IFT_Series!$A$5:$A$19</c:f>
              <c:strCach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strCache>
            </c:strRef>
          </c:cat>
          <c:val>
            <c:numRef>
              <c:f>Medicare_IFT_Series!$B$5:$B$19</c:f>
              <c:numCache>
                <c:formatCode>#,##0;\(#,##0\);\-</c:formatCode>
                <c:ptCount val="15"/>
                <c:pt idx="0">
                  <c:v>937317</c:v>
                </c:pt>
                <c:pt idx="1">
                  <c:v>978653</c:v>
                </c:pt>
                <c:pt idx="2">
                  <c:v>1017527</c:v>
                </c:pt>
                <c:pt idx="3">
                  <c:v>1027279</c:v>
                </c:pt>
                <c:pt idx="4">
                  <c:v>1059917</c:v>
                </c:pt>
                <c:pt idx="5">
                  <c:v>1092979</c:v>
                </c:pt>
                <c:pt idx="6">
                  <c:v>1118830</c:v>
                </c:pt>
                <c:pt idx="7">
                  <c:v>1139524</c:v>
                </c:pt>
                <c:pt idx="8">
                  <c:v>1126991</c:v>
                </c:pt>
                <c:pt idx="9">
                  <c:v>1121589</c:v>
                </c:pt>
                <c:pt idx="10">
                  <c:v>968422</c:v>
                </c:pt>
                <c:pt idx="11">
                  <c:v>887312</c:v>
                </c:pt>
                <c:pt idx="12">
                  <c:v>825178</c:v>
                </c:pt>
                <c:pt idx="13">
                  <c:v>837422</c:v>
                </c:pt>
                <c:pt idx="14">
                  <c:v>871753</c:v>
                </c:pt>
              </c:numCache>
            </c:numRef>
          </c:val>
          <c:smooth val="1"/>
        </c:ser>
        <c:hiLowLines>
          <c:spPr>
            <a:ln w="0">
              <a:noFill/>
            </a:ln>
          </c:spPr>
        </c:hiLowLines>
        <c:marker val="0"/>
        <c:axId val="32117069"/>
        <c:axId val="55511838"/>
      </c:lineChart>
      <c:catAx>
        <c:axId val="32117069"/>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55511838"/>
        <c:crosses val="autoZero"/>
        <c:auto val="1"/>
        <c:lblAlgn val="ctr"/>
        <c:lblOffset val="100"/>
        <c:noMultiLvlLbl val="0"/>
      </c:catAx>
      <c:valAx>
        <c:axId val="55511838"/>
        <c:scaling>
          <c:orientation val="minMax"/>
        </c:scaling>
        <c:delete val="0"/>
        <c:axPos val="l"/>
        <c:majorGridlines>
          <c:spPr>
            <a:ln w="0">
              <a:solidFill>
                <a:srgbClr val="b3b3b3"/>
              </a:solidFill>
            </a:ln>
          </c:spPr>
        </c:majorGridlines>
        <c:numFmt formatCode="#,##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3211706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Allowed per
transport</a:t>
            </a:r>
          </a:p>
        </c:rich>
      </c:tx>
      <c:overlay val="0"/>
      <c:spPr>
        <a:noFill/>
        <a:ln w="0">
          <a:noFill/>
        </a:ln>
      </c:spPr>
    </c:title>
    <c:autoTitleDeleted val="0"/>
    <c:plotArea>
      <c:lineChart>
        <c:grouping val="standard"/>
        <c:varyColors val="0"/>
        <c:ser>
          <c:idx val="0"/>
          <c:order val="0"/>
          <c:tx>
            <c:strRef>
              <c:f>Medicare_IFT_Series!G4</c:f>
              <c:strCache>
                <c:ptCount val="1"/>
                <c:pt idx="0">
                  <c:v>Allowed per
transport</c:v>
                </c:pt>
              </c:strCache>
            </c:strRef>
          </c:tx>
          <c:spPr>
            <a:solidFill>
              <a:srgbClr val="00294c"/>
            </a:solidFill>
            <a:ln w="25920">
              <a:solidFill>
                <a:srgbClr val="00294c"/>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Medicare_IFT_Series!$A$5:$A$19</c:f>
              <c:strCach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strCache>
            </c:strRef>
          </c:cat>
          <c:val>
            <c:numRef>
              <c:f>Medicare_IFT_Series!$G$5:$G$19</c:f>
              <c:numCache>
                <c:formatCode>\$#,##0.00</c:formatCode>
                <c:ptCount val="15"/>
                <c:pt idx="0">
                  <c:v>508.602859352812</c:v>
                </c:pt>
                <c:pt idx="1">
                  <c:v>512.12132914322</c:v>
                </c:pt>
                <c:pt idx="2">
                  <c:v>512.383346446827</c:v>
                </c:pt>
                <c:pt idx="3">
                  <c:v>524.55698288391</c:v>
                </c:pt>
                <c:pt idx="4">
                  <c:v>533.02953786004</c:v>
                </c:pt>
                <c:pt idx="5">
                  <c:v>541.096335236084</c:v>
                </c:pt>
                <c:pt idx="6">
                  <c:v>543.205161373935</c:v>
                </c:pt>
                <c:pt idx="7">
                  <c:v>550.784293661213</c:v>
                </c:pt>
                <c:pt idx="8">
                  <c:v>562.687062496506</c:v>
                </c:pt>
                <c:pt idx="9">
                  <c:v>575.743750500406</c:v>
                </c:pt>
                <c:pt idx="10">
                  <c:v>584.759817971917</c:v>
                </c:pt>
                <c:pt idx="11">
                  <c:v>571.504591451485</c:v>
                </c:pt>
                <c:pt idx="12">
                  <c:v>591.577139380837</c:v>
                </c:pt>
                <c:pt idx="13">
                  <c:v>653.846500557664</c:v>
                </c:pt>
                <c:pt idx="14">
                  <c:v>662.146642810521</c:v>
                </c:pt>
              </c:numCache>
            </c:numRef>
          </c:val>
          <c:smooth val="1"/>
        </c:ser>
        <c:hiLowLines>
          <c:spPr>
            <a:ln w="0">
              <a:noFill/>
            </a:ln>
          </c:spPr>
        </c:hiLowLines>
        <c:marker val="0"/>
        <c:axId val="57777736"/>
        <c:axId val="5785461"/>
      </c:lineChart>
      <c:catAx>
        <c:axId val="57777736"/>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5785461"/>
        <c:crosses val="autoZero"/>
        <c:auto val="1"/>
        <c:lblAlgn val="ctr"/>
        <c:lblOffset val="100"/>
        <c:noMultiLvlLbl val="0"/>
      </c:catAx>
      <c:valAx>
        <c:axId val="5785461"/>
        <c:scaling>
          <c:orientation val="minMax"/>
        </c:scaling>
        <c:delete val="0"/>
        <c:axPos val="l"/>
        <c:majorGridlines>
          <c:spPr>
            <a:ln w="0">
              <a:solidFill>
                <a:srgbClr val="b3b3b3"/>
              </a:solidFill>
            </a:ln>
          </c:spPr>
        </c:majorGridlines>
        <c:numFmt formatCode="\$#,##0.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5777773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 of transports</a:t>
            </a:r>
          </a:p>
        </c:rich>
      </c:tx>
      <c:overlay val="0"/>
      <c:spPr>
        <a:noFill/>
        <a:ln w="0">
          <a:noFill/>
        </a:ln>
      </c:spPr>
    </c:title>
    <c:autoTitleDeleted val="0"/>
    <c:plotArea>
      <c:barChart>
        <c:barDir val="col"/>
        <c:grouping val="clustered"/>
        <c:varyColors val="0"/>
        <c:ser>
          <c:idx val="0"/>
          <c:order val="0"/>
          <c:tx>
            <c:strRef>
              <c:f>Medicare_PSPS!G45</c:f>
              <c:strCache>
                <c:ptCount val="1"/>
                <c:pt idx="0">
                  <c:v>% of transports</c:v>
                </c:pt>
              </c:strCache>
            </c:strRef>
          </c:tx>
          <c:spPr>
            <a:solidFill>
              <a:srgbClr val="00294c"/>
            </a:solidFill>
            <a:ln w="25920">
              <a:solidFill>
                <a:srgbClr val="00294c"/>
              </a:solidFill>
              <a:round/>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Medicare_PSPS!$B$46:$B$51</c:f>
              <c:strCache>
                <c:ptCount val="6"/>
                <c:pt idx="0">
                  <c:v>BLS, non-emergency</c:v>
                </c:pt>
                <c:pt idx="1">
                  <c:v>ALS1, non-emergency</c:v>
                </c:pt>
                <c:pt idx="2">
                  <c:v>ALS1, emergency</c:v>
                </c:pt>
                <c:pt idx="3">
                  <c:v>BLS, emergency</c:v>
                </c:pt>
                <c:pt idx="4">
                  <c:v>Specialty Care Transport</c:v>
                </c:pt>
                <c:pt idx="5">
                  <c:v>ALS2</c:v>
                </c:pt>
              </c:strCache>
            </c:strRef>
          </c:cat>
          <c:val>
            <c:numRef>
              <c:f>Medicare_PSPS!$G$46:$G$51</c:f>
              <c:numCache>
                <c:formatCode>0.0%;\(0.0%\);\-</c:formatCode>
                <c:ptCount val="6"/>
                <c:pt idx="0">
                  <c:v>0.388086992531141</c:v>
                </c:pt>
                <c:pt idx="1">
                  <c:v>0.235271917618867</c:v>
                </c:pt>
                <c:pt idx="2">
                  <c:v>0.198244227435982</c:v>
                </c:pt>
                <c:pt idx="3">
                  <c:v>0.105144461791356</c:v>
                </c:pt>
                <c:pt idx="4">
                  <c:v>0.0664247785783358</c:v>
                </c:pt>
                <c:pt idx="5">
                  <c:v>0.0068276220443176</c:v>
                </c:pt>
              </c:numCache>
            </c:numRef>
          </c:val>
        </c:ser>
        <c:gapWidth val="150"/>
        <c:overlap val="0"/>
        <c:axId val="24266024"/>
        <c:axId val="29354062"/>
      </c:barChart>
      <c:catAx>
        <c:axId val="24266024"/>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29354062"/>
        <c:crosses val="autoZero"/>
        <c:auto val="1"/>
        <c:lblAlgn val="ctr"/>
        <c:lblOffset val="100"/>
        <c:noMultiLvlLbl val="0"/>
      </c:catAx>
      <c:valAx>
        <c:axId val="29354062"/>
        <c:scaling>
          <c:orientation val="minMax"/>
        </c:scaling>
        <c:delete val="0"/>
        <c:axPos val="l"/>
        <c:majorGridlines>
          <c:spPr>
            <a:ln w="0">
              <a:solidFill>
                <a:srgbClr val="b3b3b3"/>
              </a:solidFill>
            </a:ln>
          </c:spPr>
        </c:majorGridlines>
        <c:numFmt formatCode="0.0%;\(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2426602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 of allowed $</a:t>
            </a:r>
          </a:p>
        </c:rich>
      </c:tx>
      <c:overlay val="0"/>
      <c:spPr>
        <a:noFill/>
        <a:ln w="0">
          <a:noFill/>
        </a:ln>
      </c:spPr>
    </c:title>
    <c:autoTitleDeleted val="0"/>
    <c:plotArea>
      <c:barChart>
        <c:barDir val="col"/>
        <c:grouping val="clustered"/>
        <c:varyColors val="0"/>
        <c:ser>
          <c:idx val="0"/>
          <c:order val="0"/>
          <c:tx>
            <c:strRef>
              <c:f>Medicare_PSPS!H45</c:f>
              <c:strCache>
                <c:ptCount val="1"/>
                <c:pt idx="0">
                  <c:v>% of allowed $</c:v>
                </c:pt>
              </c:strCache>
            </c:strRef>
          </c:tx>
          <c:spPr>
            <a:solidFill>
              <a:srgbClr val="00294c"/>
            </a:solidFill>
            <a:ln w="25920">
              <a:solidFill>
                <a:srgbClr val="00294c"/>
              </a:solidFill>
              <a:round/>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Medicare_PSPS!$B$46:$B$51</c:f>
              <c:strCache>
                <c:ptCount val="6"/>
                <c:pt idx="0">
                  <c:v>BLS, non-emergency</c:v>
                </c:pt>
                <c:pt idx="1">
                  <c:v>ALS1, non-emergency</c:v>
                </c:pt>
                <c:pt idx="2">
                  <c:v>ALS1, emergency</c:v>
                </c:pt>
                <c:pt idx="3">
                  <c:v>BLS, emergency</c:v>
                </c:pt>
                <c:pt idx="4">
                  <c:v>Specialty Care Transport</c:v>
                </c:pt>
                <c:pt idx="5">
                  <c:v>ALS2</c:v>
                </c:pt>
              </c:strCache>
            </c:strRef>
          </c:cat>
          <c:val>
            <c:numRef>
              <c:f>Medicare_PSPS!$H$46:$H$51</c:f>
              <c:numCache>
                <c:formatCode>0.0%;\(0.0%\);\-</c:formatCode>
                <c:ptCount val="6"/>
                <c:pt idx="0">
                  <c:v>0.263718896578712</c:v>
                </c:pt>
                <c:pt idx="1">
                  <c:v>0.197048548589127</c:v>
                </c:pt>
                <c:pt idx="2">
                  <c:v>0.259397184637864</c:v>
                </c:pt>
                <c:pt idx="3">
                  <c:v>0.110672963723238</c:v>
                </c:pt>
                <c:pt idx="4">
                  <c:v>0.155895723333717</c:v>
                </c:pt>
                <c:pt idx="5">
                  <c:v>0.0132666831373408</c:v>
                </c:pt>
              </c:numCache>
            </c:numRef>
          </c:val>
        </c:ser>
        <c:gapWidth val="150"/>
        <c:overlap val="0"/>
        <c:axId val="62413603"/>
        <c:axId val="9461889"/>
      </c:barChart>
      <c:catAx>
        <c:axId val="62413603"/>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9461889"/>
        <c:crosses val="autoZero"/>
        <c:auto val="1"/>
        <c:lblAlgn val="ctr"/>
        <c:lblOffset val="100"/>
        <c:noMultiLvlLbl val="0"/>
      </c:catAx>
      <c:valAx>
        <c:axId val="9461889"/>
        <c:scaling>
          <c:orientation val="minMax"/>
        </c:scaling>
        <c:delete val="0"/>
        <c:axPos val="l"/>
        <c:majorGridlines>
          <c:spPr>
            <a:ln w="0">
              <a:solidFill>
                <a:srgbClr val="b3b3b3"/>
              </a:solidFill>
            </a:ln>
          </c:spPr>
        </c:majorGridlines>
        <c:numFmt formatCode="0.0%;\(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6241360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SCT share
of transports</a:t>
            </a:r>
          </a:p>
        </c:rich>
      </c:tx>
      <c:overlay val="0"/>
      <c:spPr>
        <a:noFill/>
        <a:ln w="0">
          <a:noFill/>
        </a:ln>
      </c:spPr>
    </c:title>
    <c:autoTitleDeleted val="0"/>
    <c:plotArea>
      <c:lineChart>
        <c:grouping val="standard"/>
        <c:varyColors val="0"/>
        <c:ser>
          <c:idx val="0"/>
          <c:order val="0"/>
          <c:tx>
            <c:strRef>
              <c:f>Medicare_IFT_Series!K4</c:f>
              <c:strCache>
                <c:ptCount val="1"/>
                <c:pt idx="0">
                  <c:v>SCT share
of transports</c:v>
                </c:pt>
              </c:strCache>
            </c:strRef>
          </c:tx>
          <c:spPr>
            <a:solidFill>
              <a:srgbClr val="00294c"/>
            </a:solidFill>
            <a:ln w="25920">
              <a:solidFill>
                <a:srgbClr val="00294c"/>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Medicare_IFT_Series!$A$5:$A$19</c:f>
              <c:strCach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strCache>
            </c:strRef>
          </c:cat>
          <c:val>
            <c:numRef>
              <c:f>Medicare_IFT_Series!$K$5:$K$19</c:f>
              <c:numCache>
                <c:formatCode>0.0%;\(0.0%\);\-</c:formatCode>
                <c:ptCount val="15"/>
                <c:pt idx="0">
                  <c:v>0.0731118714373046</c:v>
                </c:pt>
                <c:pt idx="1">
                  <c:v>0.0736788218091602</c:v>
                </c:pt>
                <c:pt idx="2">
                  <c:v>0.0723273190785109</c:v>
                </c:pt>
                <c:pt idx="3">
                  <c:v>0.0722666383718542</c:v>
                </c:pt>
                <c:pt idx="4">
                  <c:v>0.0706442108202812</c:v>
                </c:pt>
                <c:pt idx="5">
                  <c:v>0.0684523673373413</c:v>
                </c:pt>
                <c:pt idx="6">
                  <c:v>0.0669842603433944</c:v>
                </c:pt>
                <c:pt idx="7">
                  <c:v>0.068411020741994</c:v>
                </c:pt>
                <c:pt idx="8">
                  <c:v>0.0677352347977934</c:v>
                </c:pt>
                <c:pt idx="9">
                  <c:v>0.0689869461986521</c:v>
                </c:pt>
                <c:pt idx="10">
                  <c:v>0.0715277017663787</c:v>
                </c:pt>
                <c:pt idx="11">
                  <c:v>0.0692777737706692</c:v>
                </c:pt>
                <c:pt idx="12">
                  <c:v>0.0653798331996248</c:v>
                </c:pt>
                <c:pt idx="13">
                  <c:v>0.0666868078459845</c:v>
                </c:pt>
                <c:pt idx="14">
                  <c:v>0.0664247785783358</c:v>
                </c:pt>
              </c:numCache>
            </c:numRef>
          </c:val>
          <c:smooth val="1"/>
        </c:ser>
        <c:hiLowLines>
          <c:spPr>
            <a:ln w="0">
              <a:noFill/>
            </a:ln>
          </c:spPr>
        </c:hiLowLines>
        <c:marker val="0"/>
        <c:axId val="84293705"/>
        <c:axId val="39318318"/>
      </c:lineChart>
      <c:catAx>
        <c:axId val="84293705"/>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39318318"/>
        <c:crosses val="autoZero"/>
        <c:auto val="1"/>
        <c:lblAlgn val="ctr"/>
        <c:lblOffset val="100"/>
        <c:noMultiLvlLbl val="0"/>
      </c:catAx>
      <c:valAx>
        <c:axId val="39318318"/>
        <c:scaling>
          <c:orientation val="minMax"/>
        </c:scaling>
        <c:delete val="0"/>
        <c:axPos val="l"/>
        <c:majorGridlines>
          <c:spPr>
            <a:ln w="0">
              <a:solidFill>
                <a:srgbClr val="b3b3b3"/>
              </a:solidFill>
            </a:ln>
          </c:spPr>
        </c:majorGridlines>
        <c:numFmt formatCode="0.0%;\(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8429370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Hospital throughput measures</a:t>
            </a:r>
          </a:p>
        </c:rich>
      </c:tx>
      <c:overlay val="0"/>
      <c:spPr>
        <a:noFill/>
        <a:ln w="0">
          <a:noFill/>
        </a:ln>
      </c:spPr>
    </c:title>
    <c:autoTitleDeleted val="0"/>
    <c:plotArea>
      <c:barChart>
        <c:barDir val="col"/>
        <c:grouping val="clustered"/>
        <c:varyColors val="0"/>
        <c:ser>
          <c:idx val="0"/>
          <c:order val="0"/>
          <c:tx>
            <c:strRef>
              <c:f>Demand_Drivers!C20</c:f>
              <c:strCache>
                <c:ptCount val="1"/>
                <c:pt idx="0">
                  <c:v>National median
(minutes)</c:v>
                </c:pt>
              </c:strCache>
            </c:strRef>
          </c:tx>
          <c:spPr>
            <a:solidFill>
              <a:srgbClr val="00294c"/>
            </a:solidFill>
            <a:ln w="25920">
              <a:solidFill>
                <a:srgbClr val="00294c"/>
              </a:solidFill>
              <a:round/>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Demand_Drivers!$A$21:$A$24</c:f>
              <c:strCache>
                <c:ptCount val="4"/>
                <c:pt idx="0">
                  <c:v>OP-18b</c:v>
                </c:pt>
                <c:pt idx="1">
                  <c:v>OP-18a</c:v>
                </c:pt>
                <c:pt idx="2">
                  <c:v>OP-18c</c:v>
                </c:pt>
                <c:pt idx="3">
                  <c:v>OP-18d</c:v>
                </c:pt>
              </c:strCache>
            </c:strRef>
          </c:cat>
          <c:val>
            <c:numRef>
              <c:f>Demand_Drivers!$C$21:$C$24</c:f>
              <c:numCache>
                <c:formatCode>#,##0</c:formatCode>
                <c:ptCount val="4"/>
                <c:pt idx="0">
                  <c:v>161</c:v>
                </c:pt>
                <c:pt idx="1">
                  <c:v>167</c:v>
                </c:pt>
                <c:pt idx="2">
                  <c:v>259</c:v>
                </c:pt>
                <c:pt idx="3">
                  <c:v>287</c:v>
                </c:pt>
              </c:numCache>
            </c:numRef>
          </c:val>
        </c:ser>
        <c:ser>
          <c:idx val="1"/>
          <c:order val="1"/>
          <c:tx>
            <c:strRef>
              <c:f>Demand_Drivers!D20</c:f>
              <c:strCache>
                <c:ptCount val="1"/>
                <c:pt idx="0">
                  <c:v>Top-decile hospitals
(minutes)</c:v>
                </c:pt>
              </c:strCache>
            </c:strRef>
          </c:tx>
          <c:spPr>
            <a:solidFill>
              <a:srgbClr val="2e7d6b"/>
            </a:solidFill>
            <a:ln w="25920">
              <a:solidFill>
                <a:srgbClr val="2e7d6b"/>
              </a:solidFill>
              <a:round/>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Demand_Drivers!$A$21:$A$24</c:f>
              <c:strCache>
                <c:ptCount val="4"/>
                <c:pt idx="0">
                  <c:v>OP-18b</c:v>
                </c:pt>
                <c:pt idx="1">
                  <c:v>OP-18a</c:v>
                </c:pt>
                <c:pt idx="2">
                  <c:v>OP-18c</c:v>
                </c:pt>
                <c:pt idx="3">
                  <c:v>OP-18d</c:v>
                </c:pt>
              </c:strCache>
            </c:strRef>
          </c:cat>
          <c:val>
            <c:numRef>
              <c:f>Demand_Drivers!$D$21:$D$24</c:f>
              <c:numCache>
                <c:formatCode>#,##0</c:formatCode>
                <c:ptCount val="4"/>
                <c:pt idx="0">
                  <c:v>101</c:v>
                </c:pt>
                <c:pt idx="2">
                  <c:v>130</c:v>
                </c:pt>
                <c:pt idx="3">
                  <c:v>187</c:v>
                </c:pt>
              </c:numCache>
            </c:numRef>
          </c:val>
        </c:ser>
        <c:gapWidth val="150"/>
        <c:overlap val="0"/>
        <c:axId val="88436095"/>
        <c:axId val="52893221"/>
      </c:barChart>
      <c:catAx>
        <c:axId val="88436095"/>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52893221"/>
        <c:crosses val="autoZero"/>
        <c:auto val="1"/>
        <c:lblAlgn val="ctr"/>
        <c:lblOffset val="100"/>
        <c:noMultiLvlLbl val="0"/>
      </c:catAx>
      <c:valAx>
        <c:axId val="52893221"/>
        <c:scaling>
          <c:orientation val="minMax"/>
        </c:scaling>
        <c:delete val="0"/>
        <c:axPos val="l"/>
        <c:majorGridlines>
          <c:spPr>
            <a:ln w="0">
              <a:solidFill>
                <a:srgbClr val="b3b3b3"/>
              </a:solidFill>
            </a:ln>
          </c:spPr>
        </c:majorGridlines>
        <c:numFmt formatCode="#,##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8843609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Hospitals</a:t>
            </a:r>
          </a:p>
        </c:rich>
      </c:tx>
      <c:overlay val="0"/>
      <c:spPr>
        <a:noFill/>
        <a:ln w="0">
          <a:noFill/>
        </a:ln>
      </c:spPr>
    </c:title>
    <c:autoTitleDeleted val="0"/>
    <c:plotArea>
      <c:barChart>
        <c:barDir val="bar"/>
        <c:grouping val="clustered"/>
        <c:varyColors val="0"/>
        <c:ser>
          <c:idx val="0"/>
          <c:order val="0"/>
          <c:tx>
            <c:strRef>
              <c:f>Demand_Drivers!M5</c:f>
              <c:strCache>
                <c:ptCount val="1"/>
                <c:pt idx="0">
                  <c:v>Hospitals</c:v>
                </c:pt>
              </c:strCache>
            </c:strRef>
          </c:tx>
          <c:spPr>
            <a:solidFill>
              <a:srgbClr val="00294c"/>
            </a:solidFill>
            <a:ln w="25920">
              <a:solidFill>
                <a:srgbClr val="00294c"/>
              </a:solidFill>
              <a:round/>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Demand_Drivers!$L$6:$L$15</c:f>
              <c:strCache>
                <c:ptCount val="10"/>
                <c:pt idx="0">
                  <c:v>0-120</c:v>
                </c:pt>
                <c:pt idx="1">
                  <c:v>120-180</c:v>
                </c:pt>
                <c:pt idx="2">
                  <c:v>180-240</c:v>
                </c:pt>
                <c:pt idx="3">
                  <c:v>240-300</c:v>
                </c:pt>
                <c:pt idx="4">
                  <c:v>300-360</c:v>
                </c:pt>
                <c:pt idx="5">
                  <c:v>360-420</c:v>
                </c:pt>
                <c:pt idx="6">
                  <c:v>420-480</c:v>
                </c:pt>
                <c:pt idx="7">
                  <c:v>480-600</c:v>
                </c:pt>
                <c:pt idx="8">
                  <c:v>600-720</c:v>
                </c:pt>
                <c:pt idx="9">
                  <c:v>720-10000</c:v>
                </c:pt>
              </c:strCache>
            </c:strRef>
          </c:cat>
          <c:val>
            <c:numRef>
              <c:f>Demand_Drivers!$M$6:$M$15</c:f>
              <c:numCache>
                <c:formatCode>General</c:formatCode>
                <c:ptCount val="10"/>
                <c:pt idx="0">
                  <c:v>11</c:v>
                </c:pt>
                <c:pt idx="1">
                  <c:v>149</c:v>
                </c:pt>
                <c:pt idx="2">
                  <c:v>452</c:v>
                </c:pt>
                <c:pt idx="3">
                  <c:v>625</c:v>
                </c:pt>
                <c:pt idx="4">
                  <c:v>492</c:v>
                </c:pt>
                <c:pt idx="5">
                  <c:v>304</c:v>
                </c:pt>
                <c:pt idx="6">
                  <c:v>154</c:v>
                </c:pt>
                <c:pt idx="7">
                  <c:v>109</c:v>
                </c:pt>
                <c:pt idx="8">
                  <c:v>25</c:v>
                </c:pt>
                <c:pt idx="9">
                  <c:v>19</c:v>
                </c:pt>
              </c:numCache>
            </c:numRef>
          </c:val>
        </c:ser>
        <c:gapWidth val="150"/>
        <c:overlap val="0"/>
        <c:axId val="25993468"/>
        <c:axId val="4370390"/>
      </c:barChart>
      <c:catAx>
        <c:axId val="25993468"/>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4370390"/>
        <c:crosses val="autoZero"/>
        <c:auto val="1"/>
        <c:lblAlgn val="ctr"/>
        <c:lblOffset val="100"/>
        <c:noMultiLvlLbl val="0"/>
      </c:catAx>
      <c:valAx>
        <c:axId val="4370390"/>
        <c:scaling>
          <c:orientation val="minMax"/>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2599346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Mean cost per ground transport (MedPAC staging)</a:t>
            </a:r>
          </a:p>
        </c:rich>
      </c:tx>
      <c:overlay val="0"/>
      <c:spPr>
        <a:noFill/>
        <a:ln w="0">
          <a:noFill/>
        </a:ln>
      </c:spPr>
    </c:title>
    <c:autoTitleDeleted val="0"/>
    <c:plotArea>
      <c:barChart>
        <c:barDir val="col"/>
        <c:grouping val="clustered"/>
        <c:varyColors val="0"/>
        <c:ser>
          <c:idx val="0"/>
          <c:order val="0"/>
          <c:tx>
            <c:strRef>
              <c:f>Charts!T202</c:f>
              <c:strCache>
                <c:ptCount val="1"/>
                <c:pt idx="0">
                  <c:v>Mean cost per transport</c:v>
                </c:pt>
              </c:strCache>
            </c:strRef>
          </c:tx>
          <c:spPr>
            <a:solidFill>
              <a:srgbClr val="00294c"/>
            </a:solidFill>
            <a:ln w="25920">
              <a:solidFill>
                <a:srgbClr val="00294c"/>
              </a:solidFill>
              <a:round/>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Charts!$S$203:$S$206</c:f>
              <c:strCache>
                <c:ptCount val="4"/>
                <c:pt idx="0">
                  <c:v>Lowest quartile of transports</c:v>
                </c:pt>
                <c:pt idx="1">
                  <c:v>Second quartile</c:v>
                </c:pt>
                <c:pt idx="2">
                  <c:v>Third quartile</c:v>
                </c:pt>
                <c:pt idx="3">
                  <c:v>Highest quartile</c:v>
                </c:pt>
              </c:strCache>
            </c:strRef>
          </c:cat>
          <c:val>
            <c:numRef>
              <c:f>Charts!$T$203:$T$206</c:f>
              <c:numCache>
                <c:formatCode>\$#,##0</c:formatCode>
                <c:ptCount val="4"/>
                <c:pt idx="0">
                  <c:v>2878</c:v>
                </c:pt>
                <c:pt idx="1">
                  <c:v>1934</c:v>
                </c:pt>
                <c:pt idx="2">
                  <c:v>1406</c:v>
                </c:pt>
                <c:pt idx="3">
                  <c:v>918</c:v>
                </c:pt>
              </c:numCache>
            </c:numRef>
          </c:val>
        </c:ser>
        <c:gapWidth val="150"/>
        <c:overlap val="0"/>
        <c:axId val="39911412"/>
        <c:axId val="78305627"/>
      </c:barChart>
      <c:catAx>
        <c:axId val="39911412"/>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78305627"/>
        <c:crosses val="autoZero"/>
        <c:auto val="1"/>
        <c:lblAlgn val="ctr"/>
        <c:lblOffset val="100"/>
        <c:noMultiLvlLbl val="0"/>
      </c:catAx>
      <c:valAx>
        <c:axId val="78305627"/>
        <c:scaling>
          <c:orientation val="minMax"/>
        </c:scaling>
        <c:delete val="0"/>
        <c:axPos val="l"/>
        <c:majorGridlines>
          <c:spPr>
            <a:ln w="0">
              <a:solidFill>
                <a:srgbClr val="b3b3b3"/>
              </a:solidFill>
            </a:ln>
          </c:spPr>
        </c:majorGridlines>
        <c:numFmt formatCode="\$#,##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3991141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Community hospitals in a system</a:t>
            </a:r>
          </a:p>
        </c:rich>
      </c:tx>
      <c:overlay val="0"/>
      <c:spPr>
        <a:noFill/>
        <a:ln w="0">
          <a:noFill/>
        </a:ln>
      </c:spPr>
    </c:title>
    <c:autoTitleDeleted val="0"/>
    <c:plotArea>
      <c:barChart>
        <c:barDir val="col"/>
        <c:grouping val="clustered"/>
        <c:varyColors val="0"/>
        <c:ser>
          <c:idx val="0"/>
          <c:order val="0"/>
          <c:spPr>
            <a:solidFill>
              <a:srgbClr val="00294c"/>
            </a:solidFill>
            <a:ln w="25920">
              <a:solidFill>
                <a:srgbClr val="00294c"/>
              </a:solidFill>
              <a:round/>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Demand_Drivers!$B$5:$D$5</c:f>
              <c:strCache>
                <c:ptCount val="3"/>
                <c:pt idx="0">
                  <c:v>2018</c:v>
                </c:pt>
                <c:pt idx="1">
                  <c:v>2023</c:v>
                </c:pt>
                <c:pt idx="2">
                  <c:v>2024</c:v>
                </c:pt>
              </c:strCache>
            </c:strRef>
          </c:cat>
          <c:val>
            <c:numRef>
              <c:f>Demand_Drivers!$B$8:$D$8</c:f>
              <c:numCache>
                <c:formatCode>#,##0;\(#,##0\);\-</c:formatCode>
                <c:ptCount val="3"/>
                <c:pt idx="0">
                  <c:v>3491</c:v>
                </c:pt>
                <c:pt idx="1">
                  <c:v>3525</c:v>
                </c:pt>
                <c:pt idx="2">
                  <c:v>3567</c:v>
                </c:pt>
              </c:numCache>
            </c:numRef>
          </c:val>
        </c:ser>
        <c:gapWidth val="150"/>
        <c:overlap val="0"/>
        <c:axId val="82842701"/>
        <c:axId val="35144149"/>
      </c:barChart>
      <c:catAx>
        <c:axId val="82842701"/>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35144149"/>
        <c:crosses val="autoZero"/>
        <c:auto val="1"/>
        <c:lblAlgn val="ctr"/>
        <c:lblOffset val="100"/>
        <c:noMultiLvlLbl val="0"/>
      </c:catAx>
      <c:valAx>
        <c:axId val="35144149"/>
        <c:scaling>
          <c:orientation val="minMax"/>
        </c:scaling>
        <c:delete val="0"/>
        <c:axPos val="l"/>
        <c:majorGridlines>
          <c:spPr>
            <a:ln w="0">
              <a:solidFill>
                <a:srgbClr val="b3b3b3"/>
              </a:solidFill>
            </a:ln>
          </c:spPr>
        </c:majorGridlines>
        <c:numFmt formatCode="#,##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8284270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Independent community hospitals</a:t>
            </a:r>
          </a:p>
        </c:rich>
      </c:tx>
      <c:overlay val="0"/>
      <c:spPr>
        <a:noFill/>
        <a:ln w="0">
          <a:noFill/>
        </a:ln>
      </c:spPr>
    </c:title>
    <c:autoTitleDeleted val="0"/>
    <c:plotArea>
      <c:barChart>
        <c:barDir val="col"/>
        <c:grouping val="clustered"/>
        <c:varyColors val="0"/>
        <c:ser>
          <c:idx val="0"/>
          <c:order val="0"/>
          <c:spPr>
            <a:solidFill>
              <a:srgbClr val="00294c"/>
            </a:solidFill>
            <a:ln w="25920">
              <a:solidFill>
                <a:srgbClr val="00294c"/>
              </a:solidFill>
              <a:round/>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Demand_Drivers!$B$5:$D$5</c:f>
              <c:strCache>
                <c:ptCount val="3"/>
                <c:pt idx="0">
                  <c:v>2018</c:v>
                </c:pt>
                <c:pt idx="1">
                  <c:v>2023</c:v>
                </c:pt>
                <c:pt idx="2">
                  <c:v>2024</c:v>
                </c:pt>
              </c:strCache>
            </c:strRef>
          </c:cat>
          <c:val>
            <c:numRef>
              <c:f>Demand_Drivers!$B$9:$D$9</c:f>
              <c:numCache>
                <c:formatCode>#,##0;\(#,##0\);\-</c:formatCode>
                <c:ptCount val="3"/>
                <c:pt idx="0">
                  <c:v>1707</c:v>
                </c:pt>
                <c:pt idx="1">
                  <c:v>1587</c:v>
                </c:pt>
                <c:pt idx="2">
                  <c:v>1554</c:v>
                </c:pt>
              </c:numCache>
            </c:numRef>
          </c:val>
        </c:ser>
        <c:gapWidth val="150"/>
        <c:overlap val="0"/>
        <c:axId val="79302230"/>
        <c:axId val="80862562"/>
      </c:barChart>
      <c:catAx>
        <c:axId val="79302230"/>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80862562"/>
        <c:crosses val="autoZero"/>
        <c:auto val="1"/>
        <c:lblAlgn val="ctr"/>
        <c:lblOffset val="100"/>
        <c:noMultiLvlLbl val="0"/>
      </c:catAx>
      <c:valAx>
        <c:axId val="80862562"/>
        <c:scaling>
          <c:orientation val="minMax"/>
        </c:scaling>
        <c:delete val="0"/>
        <c:axPos val="l"/>
        <c:majorGridlines>
          <c:spPr>
            <a:ln w="0">
              <a:solidFill>
                <a:srgbClr val="b3b3b3"/>
              </a:solidFill>
            </a:ln>
          </c:spPr>
        </c:majorGridlines>
        <c:numFmt formatCode="#,##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7930223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Population 65 and over, Census main series (thousands)</a:t>
            </a:r>
          </a:p>
        </c:rich>
      </c:tx>
      <c:overlay val="0"/>
      <c:spPr>
        <a:noFill/>
        <a:ln w="0">
          <a:noFill/>
        </a:ln>
      </c:spPr>
    </c:title>
    <c:autoTitleDeleted val="0"/>
    <c:plotArea>
      <c:lineChart>
        <c:grouping val="standard"/>
        <c:varyColors val="0"/>
        <c:ser>
          <c:idx val="0"/>
          <c:order val="0"/>
          <c:spPr>
            <a:solidFill>
              <a:srgbClr val="00294c"/>
            </a:solidFill>
            <a:ln w="25920">
              <a:solidFill>
                <a:srgbClr val="00294c"/>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Macro_Demand_Drivers!$B$5:$G$5</c:f>
              <c:strCache>
                <c:ptCount val="6"/>
                <c:pt idx="0">
                  <c:v>2022</c:v>
                </c:pt>
                <c:pt idx="1">
                  <c:v>2025</c:v>
                </c:pt>
                <c:pt idx="2">
                  <c:v>2030</c:v>
                </c:pt>
                <c:pt idx="3">
                  <c:v>2035</c:v>
                </c:pt>
                <c:pt idx="4">
                  <c:v>2040</c:v>
                </c:pt>
                <c:pt idx="5">
                  <c:v>2050</c:v>
                </c:pt>
              </c:strCache>
            </c:strRef>
          </c:cat>
          <c:val>
            <c:numRef>
              <c:f>Macro_Demand_Drivers!$B$6:$G$6</c:f>
              <c:numCache>
                <c:formatCode>#,##0;\(#,##0\);\-</c:formatCode>
                <c:ptCount val="6"/>
                <c:pt idx="0">
                  <c:v>57795</c:v>
                </c:pt>
                <c:pt idx="1">
                  <c:v>63327</c:v>
                </c:pt>
                <c:pt idx="2">
                  <c:v>71183</c:v>
                </c:pt>
                <c:pt idx="3">
                  <c:v>75828</c:v>
                </c:pt>
                <c:pt idx="4">
                  <c:v>78294</c:v>
                </c:pt>
                <c:pt idx="5">
                  <c:v>82130</c:v>
                </c:pt>
              </c:numCache>
            </c:numRef>
          </c:val>
          <c:smooth val="1"/>
        </c:ser>
        <c:hiLowLines>
          <c:spPr>
            <a:ln w="0">
              <a:noFill/>
            </a:ln>
          </c:spPr>
        </c:hiLowLines>
        <c:marker val="0"/>
        <c:axId val="20496801"/>
        <c:axId val="81133286"/>
      </c:lineChart>
      <c:catAx>
        <c:axId val="20496801"/>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81133286"/>
        <c:crosses val="autoZero"/>
        <c:auto val="1"/>
        <c:lblAlgn val="ctr"/>
        <c:lblOffset val="100"/>
        <c:noMultiLvlLbl val="0"/>
      </c:catAx>
      <c:valAx>
        <c:axId val="81133286"/>
        <c:scaling>
          <c:orientation val="minMax"/>
        </c:scaling>
        <c:delete val="0"/>
        <c:axPos val="l"/>
        <c:majorGridlines>
          <c:spPr>
            <a:ln w="0">
              <a:solidFill>
                <a:srgbClr val="b3b3b3"/>
              </a:solidFill>
            </a:ln>
          </c:spPr>
        </c:majorGridlines>
        <c:numFmt formatCode="#,##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2049680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Allowed dollars by origin-destination pair, 2024 (top pairs)</a:t>
            </a:r>
          </a:p>
        </c:rich>
      </c:tx>
      <c:overlay val="0"/>
      <c:spPr>
        <a:noFill/>
        <a:ln w="0">
          <a:noFill/>
        </a:ln>
      </c:spPr>
    </c:title>
    <c:autoTitleDeleted val="0"/>
    <c:plotArea>
      <c:barChart>
        <c:barDir val="bar"/>
        <c:grouping val="clustered"/>
        <c:varyColors val="0"/>
        <c:ser>
          <c:idx val="0"/>
          <c:order val="0"/>
          <c:tx>
            <c:strRef>
              <c:f>Medicare_OD_Matrix!D5</c:f>
              <c:strCache>
                <c:ptCount val="1"/>
                <c:pt idx="0">
                  <c:v>Base allowed $ 2024</c:v>
                </c:pt>
              </c:strCache>
            </c:strRef>
          </c:tx>
          <c:spPr>
            <a:solidFill>
              <a:srgbClr val="00294c"/>
            </a:solidFill>
            <a:ln w="25920">
              <a:solidFill>
                <a:srgbClr val="00294c"/>
              </a:solidFill>
              <a:round/>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Medicare_OD_Matrix!$A$6:$A$15</c:f>
              <c:strCache>
                <c:ptCount val="10"/>
                <c:pt idx="0">
                  <c:v>RH</c:v>
                </c:pt>
                <c:pt idx="1">
                  <c:v>HN</c:v>
                </c:pt>
                <c:pt idx="2">
                  <c:v>NH</c:v>
                </c:pt>
                <c:pt idx="3">
                  <c:v>SH</c:v>
                </c:pt>
                <c:pt idx="4">
                  <c:v>HH</c:v>
                </c:pt>
                <c:pt idx="5">
                  <c:v>EH</c:v>
                </c:pt>
                <c:pt idx="6">
                  <c:v>HR</c:v>
                </c:pt>
                <c:pt idx="7">
                  <c:v>HE</c:v>
                </c:pt>
                <c:pt idx="8">
                  <c:v>RJ</c:v>
                </c:pt>
                <c:pt idx="9">
                  <c:v>JR</c:v>
                </c:pt>
              </c:strCache>
            </c:strRef>
          </c:cat>
          <c:val>
            <c:numRef>
              <c:f>Medicare_OD_Matrix!$D$6:$D$15</c:f>
              <c:numCache>
                <c:formatCode>\$#,##0;"($"#,##0\);\-</c:formatCode>
                <c:ptCount val="10"/>
                <c:pt idx="0">
                  <c:v>1799295536.62</c:v>
                </c:pt>
                <c:pt idx="1">
                  <c:v>322477205.01</c:v>
                </c:pt>
                <c:pt idx="2">
                  <c:v>515779918.06</c:v>
                </c:pt>
                <c:pt idx="3">
                  <c:v>412250314.13</c:v>
                </c:pt>
                <c:pt idx="4">
                  <c:v>319815283.6</c:v>
                </c:pt>
                <c:pt idx="5">
                  <c:v>263922291.87</c:v>
                </c:pt>
                <c:pt idx="6">
                  <c:v>119334140.97</c:v>
                </c:pt>
                <c:pt idx="7">
                  <c:v>77420105.01</c:v>
                </c:pt>
                <c:pt idx="8">
                  <c:v>41297242.28</c:v>
                </c:pt>
                <c:pt idx="9">
                  <c:v>40783851.82</c:v>
                </c:pt>
              </c:numCache>
            </c:numRef>
          </c:val>
        </c:ser>
        <c:gapWidth val="150"/>
        <c:overlap val="0"/>
        <c:axId val="70559114"/>
        <c:axId val="68454664"/>
      </c:barChart>
      <c:catAx>
        <c:axId val="70559114"/>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68454664"/>
        <c:crosses val="autoZero"/>
        <c:auto val="1"/>
        <c:lblAlgn val="ctr"/>
        <c:lblOffset val="100"/>
        <c:noMultiLvlLbl val="0"/>
      </c:catAx>
      <c:valAx>
        <c:axId val="68454664"/>
        <c:scaling>
          <c:orientation val="minMax"/>
        </c:scaling>
        <c:delete val="0"/>
        <c:axPos val="l"/>
        <c:majorGridlines>
          <c:spPr>
            <a:ln w="0">
              <a:solidFill>
                <a:srgbClr val="b3b3b3"/>
              </a:solidFill>
            </a:ln>
          </c:spPr>
        </c:majorGridlines>
        <c:numFmt formatCode="\$#,##0;&quot;($&quot;#,##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7055911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Transports by origin-destination pair, 2024 (top pairs)</a:t>
            </a:r>
          </a:p>
        </c:rich>
      </c:tx>
      <c:overlay val="0"/>
      <c:spPr>
        <a:noFill/>
        <a:ln w="0">
          <a:noFill/>
        </a:ln>
      </c:spPr>
    </c:title>
    <c:autoTitleDeleted val="0"/>
    <c:plotArea>
      <c:barChart>
        <c:barDir val="bar"/>
        <c:grouping val="clustered"/>
        <c:varyColors val="0"/>
        <c:ser>
          <c:idx val="0"/>
          <c:order val="0"/>
          <c:tx>
            <c:strRef>
              <c:f>Medicare_OD_Matrix!C5</c:f>
              <c:strCache>
                <c:ptCount val="1"/>
                <c:pt idx="0">
                  <c:v>Transports 2024</c:v>
                </c:pt>
              </c:strCache>
            </c:strRef>
          </c:tx>
          <c:spPr>
            <a:solidFill>
              <a:srgbClr val="00294c"/>
            </a:solidFill>
            <a:ln w="25920">
              <a:solidFill>
                <a:srgbClr val="00294c"/>
              </a:solidFill>
              <a:round/>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Medicare_OD_Matrix!$A$6:$A$15</c:f>
              <c:strCache>
                <c:ptCount val="10"/>
                <c:pt idx="0">
                  <c:v>RH</c:v>
                </c:pt>
                <c:pt idx="1">
                  <c:v>HN</c:v>
                </c:pt>
                <c:pt idx="2">
                  <c:v>NH</c:v>
                </c:pt>
                <c:pt idx="3">
                  <c:v>SH</c:v>
                </c:pt>
                <c:pt idx="4">
                  <c:v>HH</c:v>
                </c:pt>
                <c:pt idx="5">
                  <c:v>EH</c:v>
                </c:pt>
                <c:pt idx="6">
                  <c:v>HR</c:v>
                </c:pt>
                <c:pt idx="7">
                  <c:v>HE</c:v>
                </c:pt>
                <c:pt idx="8">
                  <c:v>RJ</c:v>
                </c:pt>
                <c:pt idx="9">
                  <c:v>JR</c:v>
                </c:pt>
              </c:strCache>
            </c:strRef>
          </c:cat>
          <c:val>
            <c:numRef>
              <c:f>Medicare_OD_Matrix!$C$6:$C$15</c:f>
              <c:numCache>
                <c:formatCode>#,##0;\(#,##0\);\-</c:formatCode>
                <c:ptCount val="10"/>
                <c:pt idx="0">
                  <c:v>3898371.1</c:v>
                </c:pt>
                <c:pt idx="1">
                  <c:v>1241885.3</c:v>
                </c:pt>
                <c:pt idx="2">
                  <c:v>1156367.8</c:v>
                </c:pt>
                <c:pt idx="3">
                  <c:v>903261.9</c:v>
                </c:pt>
                <c:pt idx="4">
                  <c:v>871758.5</c:v>
                </c:pt>
                <c:pt idx="5">
                  <c:v>585443.5</c:v>
                </c:pt>
                <c:pt idx="6">
                  <c:v>480973.3</c:v>
                </c:pt>
                <c:pt idx="7">
                  <c:v>319041.9</c:v>
                </c:pt>
                <c:pt idx="8">
                  <c:v>214296</c:v>
                </c:pt>
                <c:pt idx="9">
                  <c:v>210479</c:v>
                </c:pt>
              </c:numCache>
            </c:numRef>
          </c:val>
        </c:ser>
        <c:gapWidth val="150"/>
        <c:overlap val="0"/>
        <c:axId val="89874869"/>
        <c:axId val="88313287"/>
      </c:barChart>
      <c:catAx>
        <c:axId val="89874869"/>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88313287"/>
        <c:crosses val="autoZero"/>
        <c:auto val="1"/>
        <c:lblAlgn val="ctr"/>
        <c:lblOffset val="100"/>
        <c:noMultiLvlLbl val="0"/>
      </c:catAx>
      <c:valAx>
        <c:axId val="88313287"/>
        <c:scaling>
          <c:orientation val="minMax"/>
        </c:scaling>
        <c:delete val="0"/>
        <c:axPos val="l"/>
        <c:majorGridlines>
          <c:spPr>
            <a:ln w="0">
              <a:solidFill>
                <a:srgbClr val="b3b3b3"/>
              </a:solidFill>
            </a:ln>
          </c:spPr>
        </c:majorGridlines>
        <c:numFmt formatCode="#,##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8987486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Rotary-wing HH transports per 1,000 A and B FFS</a:t>
            </a:r>
          </a:p>
        </c:rich>
      </c:tx>
      <c:overlay val="0"/>
      <c:spPr>
        <a:noFill/>
        <a:ln w="0">
          <a:noFill/>
        </a:ln>
      </c:spPr>
    </c:title>
    <c:autoTitleDeleted val="0"/>
    <c:plotArea>
      <c:lineChart>
        <c:grouping val="standard"/>
        <c:varyColors val="0"/>
        <c:ser>
          <c:idx val="0"/>
          <c:order val="0"/>
          <c:tx>
            <c:strRef>
              <c:f>Utilization_Normalized!B32</c:f>
              <c:strCache>
                <c:ptCount val="1"/>
                <c:pt idx="0">
                  <c:v>Rotary HH transports</c:v>
                </c:pt>
              </c:strCache>
            </c:strRef>
          </c:tx>
          <c:spPr>
            <a:solidFill>
              <a:srgbClr val="00294c"/>
            </a:solidFill>
            <a:ln w="25920">
              <a:solidFill>
                <a:srgbClr val="00294c"/>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Utilization_Normalized!$A$33:$A$44</c:f>
              <c:strCache>
                <c:ptCount val="12"/>
                <c:pt idx="0">
                  <c:v>2013</c:v>
                </c:pt>
                <c:pt idx="1">
                  <c:v>2014</c:v>
                </c:pt>
                <c:pt idx="2">
                  <c:v>2015</c:v>
                </c:pt>
                <c:pt idx="3">
                  <c:v>2016</c:v>
                </c:pt>
                <c:pt idx="4">
                  <c:v>2017</c:v>
                </c:pt>
                <c:pt idx="5">
                  <c:v>2018</c:v>
                </c:pt>
                <c:pt idx="6">
                  <c:v>2019</c:v>
                </c:pt>
                <c:pt idx="7">
                  <c:v>2020</c:v>
                </c:pt>
                <c:pt idx="8">
                  <c:v>2021</c:v>
                </c:pt>
                <c:pt idx="9">
                  <c:v>2022</c:v>
                </c:pt>
                <c:pt idx="10">
                  <c:v>2023</c:v>
                </c:pt>
                <c:pt idx="11">
                  <c:v>2024</c:v>
                </c:pt>
              </c:strCache>
            </c:strRef>
          </c:cat>
          <c:val>
            <c:numRef>
              <c:f>Utilization_Normalized!$B$33:$B$44</c:f>
              <c:numCache>
                <c:formatCode>#,##0;\(#,##0\);\-</c:formatCode>
                <c:ptCount val="12"/>
                <c:pt idx="0">
                  <c:v>36874</c:v>
                </c:pt>
                <c:pt idx="1">
                  <c:v>39399</c:v>
                </c:pt>
                <c:pt idx="2">
                  <c:v>41727.1</c:v>
                </c:pt>
                <c:pt idx="3">
                  <c:v>43744.3</c:v>
                </c:pt>
                <c:pt idx="4">
                  <c:v>44506</c:v>
                </c:pt>
                <c:pt idx="5">
                  <c:v>44531</c:v>
                </c:pt>
                <c:pt idx="6">
                  <c:v>46313</c:v>
                </c:pt>
                <c:pt idx="7">
                  <c:v>42839</c:v>
                </c:pt>
                <c:pt idx="8">
                  <c:v>49044.1</c:v>
                </c:pt>
                <c:pt idx="9">
                  <c:v>44231.4</c:v>
                </c:pt>
                <c:pt idx="10">
                  <c:v>44646</c:v>
                </c:pt>
                <c:pt idx="11">
                  <c:v>43682.9</c:v>
                </c:pt>
              </c:numCache>
            </c:numRef>
          </c:val>
          <c:smooth val="1"/>
        </c:ser>
        <c:hiLowLines>
          <c:spPr>
            <a:ln w="0">
              <a:noFill/>
            </a:ln>
          </c:spPr>
        </c:hiLowLines>
        <c:marker val="0"/>
        <c:axId val="54078755"/>
        <c:axId val="30355218"/>
      </c:lineChart>
      <c:catAx>
        <c:axId val="54078755"/>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30355218"/>
        <c:crosses val="autoZero"/>
        <c:auto val="1"/>
        <c:lblAlgn val="ctr"/>
        <c:lblOffset val="100"/>
        <c:noMultiLvlLbl val="0"/>
      </c:catAx>
      <c:valAx>
        <c:axId val="30355218"/>
        <c:scaling>
          <c:orientation val="minMax"/>
        </c:scaling>
        <c:delete val="0"/>
        <c:axPos val="l"/>
        <c:majorGridlines>
          <c:spPr>
            <a:ln w="0">
              <a:solidFill>
                <a:srgbClr val="b3b3b3"/>
              </a:solidFill>
            </a:ln>
          </c:spPr>
        </c:majorGridlines>
        <c:numFmt formatCode="#,##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5407875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Transports per 1,000 A and B FFS: 2019 against 2024</a:t>
            </a:r>
          </a:p>
        </c:rich>
      </c:tx>
      <c:overlay val="0"/>
      <c:spPr>
        <a:noFill/>
        <a:ln w="0">
          <a:noFill/>
        </a:ln>
      </c:spPr>
    </c:title>
    <c:autoTitleDeleted val="0"/>
    <c:plotArea>
      <c:barChart>
        <c:barDir val="col"/>
        <c:grouping val="clustered"/>
        <c:varyColors val="0"/>
        <c:ser>
          <c:idx val="0"/>
          <c:order val="0"/>
          <c:tx>
            <c:strRef>
              <c:f>Utilization_Normalized!D23</c:f>
              <c:strCache>
                <c:ptCount val="1"/>
                <c:pt idx="0">
                  <c:v>2019 per 1,000</c:v>
                </c:pt>
              </c:strCache>
            </c:strRef>
          </c:tx>
          <c:spPr>
            <a:solidFill>
              <a:srgbClr val="00294c"/>
            </a:solidFill>
            <a:ln w="25920">
              <a:solidFill>
                <a:srgbClr val="00294c"/>
              </a:solidFill>
              <a:round/>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Utilization_Normalized!$A$24:$A$27</c:f>
              <c:strCache>
                <c:ptCount val="4"/>
                <c:pt idx="0">
                  <c:v>All O-D coded ground transports</c:v>
                </c:pt>
                <c:pt idx="1">
                  <c:v>Hospital-to-hospital (HH)</c:v>
                </c:pt>
                <c:pt idx="2">
                  <c:v>Dialysis pairs (any J or G)</c:v>
                </c:pt>
                <c:pt idx="3">
                  <c:v>Rotary-wing hospital-to-hospital</c:v>
                </c:pt>
              </c:strCache>
            </c:strRef>
          </c:cat>
          <c:val>
            <c:numRef>
              <c:f>Utilization_Normalized!$D$24:$D$27</c:f>
              <c:numCache>
                <c:formatCode>#,##0.0;\(#,##0.0\);\-</c:formatCode>
                <c:ptCount val="4"/>
                <c:pt idx="0">
                  <c:v>436.223518748583</c:v>
                </c:pt>
                <c:pt idx="1">
                  <c:v>34.2387014838363</c:v>
                </c:pt>
                <c:pt idx="2">
                  <c:v>71.214549524486</c:v>
                </c:pt>
                <c:pt idx="3">
                  <c:v>1.41378648334891</c:v>
                </c:pt>
              </c:numCache>
            </c:numRef>
          </c:val>
        </c:ser>
        <c:ser>
          <c:idx val="1"/>
          <c:order val="1"/>
          <c:tx>
            <c:strRef>
              <c:f>Utilization_Normalized!E23</c:f>
              <c:strCache>
                <c:ptCount val="1"/>
                <c:pt idx="0">
                  <c:v>2024 per 1,000</c:v>
                </c:pt>
              </c:strCache>
            </c:strRef>
          </c:tx>
          <c:spPr>
            <a:solidFill>
              <a:srgbClr val="2e7d6b"/>
            </a:solidFill>
            <a:ln w="25920">
              <a:solidFill>
                <a:srgbClr val="2e7d6b"/>
              </a:solidFill>
              <a:round/>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Utilization_Normalized!$A$24:$A$27</c:f>
              <c:strCache>
                <c:ptCount val="4"/>
                <c:pt idx="0">
                  <c:v>All O-D coded ground transports</c:v>
                </c:pt>
                <c:pt idx="1">
                  <c:v>Hospital-to-hospital (HH)</c:v>
                </c:pt>
                <c:pt idx="2">
                  <c:v>Dialysis pairs (any J or G)</c:v>
                </c:pt>
                <c:pt idx="3">
                  <c:v>Rotary-wing hospital-to-hospital</c:v>
                </c:pt>
              </c:strCache>
            </c:strRef>
          </c:cat>
          <c:val>
            <c:numRef>
              <c:f>Utilization_Normalized!$E$24:$E$27</c:f>
              <c:numCache>
                <c:formatCode>#,##0.0;\(#,##0.0\);\-</c:formatCode>
                <c:ptCount val="4"/>
                <c:pt idx="0">
                  <c:v>384.402477878575</c:v>
                </c:pt>
                <c:pt idx="1">
                  <c:v>31.5015503453826</c:v>
                </c:pt>
                <c:pt idx="2">
                  <c:v>30.9953442481512</c:v>
                </c:pt>
                <c:pt idx="3">
                  <c:v>1.57850949957163</c:v>
                </c:pt>
              </c:numCache>
            </c:numRef>
          </c:val>
        </c:ser>
        <c:gapWidth val="150"/>
        <c:overlap val="0"/>
        <c:axId val="12315437"/>
        <c:axId val="54748502"/>
      </c:barChart>
      <c:catAx>
        <c:axId val="12315437"/>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54748502"/>
        <c:crosses val="autoZero"/>
        <c:auto val="1"/>
        <c:lblAlgn val="ctr"/>
        <c:lblOffset val="100"/>
        <c:noMultiLvlLbl val="0"/>
      </c:catAx>
      <c:valAx>
        <c:axId val="54748502"/>
        <c:scaling>
          <c:orientation val="minMax"/>
        </c:scaling>
        <c:delete val="0"/>
        <c:axPos val="l"/>
        <c:majorGridlines>
          <c:spPr>
            <a:ln w="0">
              <a:solidFill>
                <a:srgbClr val="b3b3b3"/>
              </a:solidFill>
            </a:ln>
          </c:spPr>
        </c:majorGridlines>
        <c:numFmt formatCode="#,##0.0;\(#,##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1231543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Original Medicare against MA and other, 2013-2025</a:t>
            </a:r>
          </a:p>
        </c:rich>
      </c:tx>
      <c:overlay val="0"/>
      <c:spPr>
        <a:noFill/>
        <a:ln w="0">
          <a:noFill/>
        </a:ln>
      </c:spPr>
    </c:title>
    <c:autoTitleDeleted val="0"/>
    <c:plotArea>
      <c:lineChart>
        <c:grouping val="standard"/>
        <c:varyColors val="0"/>
        <c:ser>
          <c:idx val="0"/>
          <c:order val="0"/>
          <c:tx>
            <c:strRef>
              <c:f>Utilization_Normalized!C5</c:f>
              <c:strCache>
                <c:ptCount val="1"/>
                <c:pt idx="0">
                  <c:v>Original Medicare, Part A and B</c:v>
                </c:pt>
              </c:strCache>
            </c:strRef>
          </c:tx>
          <c:spPr>
            <a:solidFill>
              <a:srgbClr val="00294c"/>
            </a:solidFill>
            <a:ln w="25920">
              <a:solidFill>
                <a:srgbClr val="00294c"/>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Utilization_Normalized!$A$6:$A$18</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Utilization_Normalized!$C$6:$C$18</c:f>
              <c:numCache>
                <c:formatCode>#,##0;\(#,##0\);\-</c:formatCode>
                <c:ptCount val="13"/>
                <c:pt idx="0">
                  <c:v>32831884</c:v>
                </c:pt>
                <c:pt idx="1">
                  <c:v>32875941</c:v>
                </c:pt>
                <c:pt idx="2">
                  <c:v>32969015</c:v>
                </c:pt>
                <c:pt idx="3">
                  <c:v>33392782</c:v>
                </c:pt>
                <c:pt idx="4">
                  <c:v>33241572</c:v>
                </c:pt>
                <c:pt idx="5">
                  <c:v>33052064</c:v>
                </c:pt>
                <c:pt idx="6">
                  <c:v>32758129</c:v>
                </c:pt>
                <c:pt idx="7">
                  <c:v>31933485</c:v>
                </c:pt>
                <c:pt idx="8">
                  <c:v>30536959</c:v>
                </c:pt>
                <c:pt idx="9">
                  <c:v>29345351</c:v>
                </c:pt>
                <c:pt idx="10">
                  <c:v>28315412</c:v>
                </c:pt>
                <c:pt idx="11">
                  <c:v>27673511</c:v>
                </c:pt>
                <c:pt idx="12">
                  <c:v>27914766</c:v>
                </c:pt>
              </c:numCache>
            </c:numRef>
          </c:val>
          <c:smooth val="1"/>
        </c:ser>
        <c:ser>
          <c:idx val="1"/>
          <c:order val="1"/>
          <c:tx>
            <c:strRef>
              <c:f>Utilization_Normalized!E5</c:f>
              <c:strCache>
                <c:ptCount val="1"/>
                <c:pt idx="0">
                  <c:v>MA and other plans</c:v>
                </c:pt>
              </c:strCache>
            </c:strRef>
          </c:tx>
          <c:spPr>
            <a:solidFill>
              <a:srgbClr val="2e7d6b"/>
            </a:solidFill>
            <a:ln w="25920">
              <a:solidFill>
                <a:srgbClr val="2e7d6b"/>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Utilization_Normalized!$A$6:$A$18</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Utilization_Normalized!$E$6:$E$18</c:f>
              <c:numCache>
                <c:formatCode>#,##0;\(#,##0\);\-</c:formatCode>
                <c:ptCount val="13"/>
                <c:pt idx="0">
                  <c:v>14812563</c:v>
                </c:pt>
                <c:pt idx="1">
                  <c:v>16222665</c:v>
                </c:pt>
                <c:pt idx="2">
                  <c:v>17470948</c:v>
                </c:pt>
                <c:pt idx="3">
                  <c:v>18370800</c:v>
                </c:pt>
                <c:pt idx="4">
                  <c:v>19789413</c:v>
                </c:pt>
                <c:pt idx="5">
                  <c:v>21324800</c:v>
                </c:pt>
                <c:pt idx="6">
                  <c:v>22937498</c:v>
                </c:pt>
                <c:pt idx="7">
                  <c:v>25063922</c:v>
                </c:pt>
                <c:pt idx="8">
                  <c:v>27536246</c:v>
                </c:pt>
                <c:pt idx="9">
                  <c:v>29829632</c:v>
                </c:pt>
                <c:pt idx="10">
                  <c:v>32142166</c:v>
                </c:pt>
                <c:pt idx="11">
                  <c:v>34081269</c:v>
                </c:pt>
                <c:pt idx="12">
                  <c:v>35344370</c:v>
                </c:pt>
              </c:numCache>
            </c:numRef>
          </c:val>
          <c:smooth val="1"/>
        </c:ser>
        <c:hiLowLines>
          <c:spPr>
            <a:ln w="0">
              <a:noFill/>
            </a:ln>
          </c:spPr>
        </c:hiLowLines>
        <c:marker val="0"/>
        <c:axId val="43830947"/>
        <c:axId val="6379480"/>
      </c:lineChart>
      <c:catAx>
        <c:axId val="43830947"/>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6379480"/>
        <c:crosses val="autoZero"/>
        <c:auto val="1"/>
        <c:lblAlgn val="ctr"/>
        <c:lblOffset val="100"/>
        <c:noMultiLvlLbl val="0"/>
      </c:catAx>
      <c:valAx>
        <c:axId val="6379480"/>
        <c:scaling>
          <c:orientation val="minMax"/>
        </c:scaling>
        <c:delete val="0"/>
        <c:axPos val="l"/>
        <c:majorGridlines>
          <c:spPr>
            <a:ln w="0">
              <a:solidFill>
                <a:srgbClr val="b3b3b3"/>
              </a:solidFill>
            </a:ln>
          </c:spPr>
        </c:majorGridlines>
        <c:numFmt formatCode="#,##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4383094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Clinical mix by channel, 2024</a:t>
            </a:r>
          </a:p>
        </c:rich>
      </c:tx>
      <c:overlay val="0"/>
      <c:spPr>
        <a:noFill/>
        <a:ln w="0">
          <a:noFill/>
        </a:ln>
      </c:spPr>
    </c:title>
    <c:autoTitleDeleted val="0"/>
    <c:plotArea>
      <c:barChart>
        <c:barDir val="col"/>
        <c:grouping val="stacked"/>
        <c:varyColors val="0"/>
        <c:ser>
          <c:idx val="0"/>
          <c:order val="0"/>
          <c:tx>
            <c:strRef>
              <c:f>Acuity_by_Channel!J5</c:f>
              <c:strCache>
                <c:ptCount val="1"/>
                <c:pt idx="0">
                  <c:v>Emergency share (ALS-E + BLS-E + ALS2)</c:v>
                </c:pt>
              </c:strCache>
            </c:strRef>
          </c:tx>
          <c:spPr>
            <a:solidFill>
              <a:srgbClr val="00294c"/>
            </a:solidFill>
            <a:ln w="25920">
              <a:solidFill>
                <a:srgbClr val="00294c"/>
              </a:solidFill>
              <a:round/>
            </a:ln>
          </c:spPr>
          <c:invertIfNegative val="0"/>
          <c:dLbls>
            <c:txPr>
              <a:bodyPr wrap="squar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Acuity_by_Channel!$A$6:$A$12</c:f>
              <c:strCache>
                <c:ptCount val="7"/>
                <c:pt idx="0">
                  <c:v>RH</c:v>
                </c:pt>
                <c:pt idx="1">
                  <c:v>SH</c:v>
                </c:pt>
                <c:pt idx="2">
                  <c:v>NH</c:v>
                </c:pt>
                <c:pt idx="3">
                  <c:v>HH</c:v>
                </c:pt>
                <c:pt idx="4">
                  <c:v>HN</c:v>
                </c:pt>
                <c:pt idx="5">
                  <c:v>Dialysis pairs</c:v>
                </c:pt>
                <c:pt idx="6">
                  <c:v>ALL</c:v>
                </c:pt>
              </c:strCache>
            </c:strRef>
          </c:cat>
          <c:val>
            <c:numRef>
              <c:f>Acuity_by_Channel!$J$6:$J$12</c:f>
              <c:numCache>
                <c:formatCode>0.0%;\(0.0%\);\-</c:formatCode>
                <c:ptCount val="7"/>
                <c:pt idx="0">
                  <c:v>0.993068412599303</c:v>
                </c:pt>
                <c:pt idx="1">
                  <c:v>0.997060653172684</c:v>
                </c:pt>
                <c:pt idx="2">
                  <c:v>0.944734192702357</c:v>
                </c:pt>
                <c:pt idx="3">
                  <c:v>0.310218368963423</c:v>
                </c:pt>
                <c:pt idx="4">
                  <c:v>0.00110316145943591</c:v>
                </c:pt>
                <c:pt idx="5">
                  <c:v>0.0415463713203148</c:v>
                </c:pt>
                <c:pt idx="6">
                  <c:v>0.653039375879496</c:v>
                </c:pt>
              </c:numCache>
            </c:numRef>
          </c:val>
        </c:ser>
        <c:ser>
          <c:idx val="1"/>
          <c:order val="1"/>
          <c:tx>
            <c:strRef>
              <c:f>Acuity_by_Channel!K5</c:f>
              <c:strCache>
                <c:ptCount val="1"/>
                <c:pt idx="0">
                  <c:v>Non-emergency share (ALS-NE + BLS-NE)</c:v>
                </c:pt>
              </c:strCache>
            </c:strRef>
          </c:tx>
          <c:spPr>
            <a:solidFill>
              <a:srgbClr val="2e7d6b"/>
            </a:solidFill>
            <a:ln w="25920">
              <a:solidFill>
                <a:srgbClr val="2e7d6b"/>
              </a:solidFill>
              <a:round/>
            </a:ln>
          </c:spPr>
          <c:invertIfNegative val="0"/>
          <c:dLbls>
            <c:txPr>
              <a:bodyPr wrap="squar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Acuity_by_Channel!$A$6:$A$12</c:f>
              <c:strCache>
                <c:ptCount val="7"/>
                <c:pt idx="0">
                  <c:v>RH</c:v>
                </c:pt>
                <c:pt idx="1">
                  <c:v>SH</c:v>
                </c:pt>
                <c:pt idx="2">
                  <c:v>NH</c:v>
                </c:pt>
                <c:pt idx="3">
                  <c:v>HH</c:v>
                </c:pt>
                <c:pt idx="4">
                  <c:v>HN</c:v>
                </c:pt>
                <c:pt idx="5">
                  <c:v>Dialysis pairs</c:v>
                </c:pt>
                <c:pt idx="6">
                  <c:v>ALL</c:v>
                </c:pt>
              </c:strCache>
            </c:strRef>
          </c:cat>
          <c:val>
            <c:numRef>
              <c:f>Acuity_by_Channel!$K$6:$K$12</c:f>
              <c:numCache>
                <c:formatCode>0.0%;\(0.0%\);\-</c:formatCode>
                <c:ptCount val="7"/>
                <c:pt idx="0">
                  <c:v>0.00690362700462252</c:v>
                </c:pt>
                <c:pt idx="1">
                  <c:v>0.00256957588934062</c:v>
                </c:pt>
                <c:pt idx="2">
                  <c:v>0.0515533206649303</c:v>
                </c:pt>
                <c:pt idx="3">
                  <c:v>0.623357271537932</c:v>
                </c:pt>
                <c:pt idx="4">
                  <c:v>0.991628051318427</c:v>
                </c:pt>
                <c:pt idx="5">
                  <c:v>0.956387758670941</c:v>
                </c:pt>
                <c:pt idx="6">
                  <c:v>0.339675730041896</c:v>
                </c:pt>
              </c:numCache>
            </c:numRef>
          </c:val>
        </c:ser>
        <c:ser>
          <c:idx val="2"/>
          <c:order val="2"/>
          <c:tx>
            <c:strRef>
              <c:f>Acuity_by_Channel!L5</c:f>
              <c:strCache>
                <c:ptCount val="1"/>
                <c:pt idx="0">
                  <c:v>SCT share</c:v>
                </c:pt>
              </c:strCache>
            </c:strRef>
          </c:tx>
          <c:spPr>
            <a:solidFill>
              <a:srgbClr val="3e7cb1"/>
            </a:solidFill>
            <a:ln w="25920">
              <a:solidFill>
                <a:srgbClr val="3e7cb1"/>
              </a:solidFill>
              <a:round/>
            </a:ln>
          </c:spPr>
          <c:invertIfNegative val="0"/>
          <c:dLbls>
            <c:txPr>
              <a:bodyPr wrap="squar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Acuity_by_Channel!$A$6:$A$12</c:f>
              <c:strCache>
                <c:ptCount val="7"/>
                <c:pt idx="0">
                  <c:v>RH</c:v>
                </c:pt>
                <c:pt idx="1">
                  <c:v>SH</c:v>
                </c:pt>
                <c:pt idx="2">
                  <c:v>NH</c:v>
                </c:pt>
                <c:pt idx="3">
                  <c:v>HH</c:v>
                </c:pt>
                <c:pt idx="4">
                  <c:v>HN</c:v>
                </c:pt>
                <c:pt idx="5">
                  <c:v>Dialysis pairs</c:v>
                </c:pt>
                <c:pt idx="6">
                  <c:v>ALL</c:v>
                </c:pt>
              </c:strCache>
            </c:strRef>
          </c:cat>
          <c:val>
            <c:numRef>
              <c:f>Acuity_by_Channel!$L$6:$L$12</c:f>
              <c:numCache>
                <c:formatCode>0.0%;\(0.0%\);\-</c:formatCode>
                <c:ptCount val="7"/>
                <c:pt idx="0">
                  <c:v>2.79603960741449E-005</c:v>
                </c:pt>
                <c:pt idx="1">
                  <c:v>0.000369770937974911</c:v>
                </c:pt>
                <c:pt idx="2">
                  <c:v>0.00371248663271322</c:v>
                </c:pt>
                <c:pt idx="3">
                  <c:v>0.0664243594986456</c:v>
                </c:pt>
                <c:pt idx="4">
                  <c:v>0.00726878722213718</c:v>
                </c:pt>
                <c:pt idx="5">
                  <c:v>0.00206587000874381</c:v>
                </c:pt>
                <c:pt idx="6">
                  <c:v>0.00728489407860835</c:v>
                </c:pt>
              </c:numCache>
            </c:numRef>
          </c:val>
        </c:ser>
        <c:gapWidth val="150"/>
        <c:overlap val="100"/>
        <c:axId val="23213784"/>
        <c:axId val="67548523"/>
      </c:barChart>
      <c:catAx>
        <c:axId val="23213784"/>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67548523"/>
        <c:crosses val="autoZero"/>
        <c:auto val="1"/>
        <c:lblAlgn val="ctr"/>
        <c:lblOffset val="100"/>
        <c:noMultiLvlLbl val="0"/>
      </c:catAx>
      <c:valAx>
        <c:axId val="67548523"/>
        <c:scaling>
          <c:orientation val="minMax"/>
        </c:scaling>
        <c:delete val="0"/>
        <c:axPos val="l"/>
        <c:majorGridlines>
          <c:spPr>
            <a:ln w="0">
              <a:solidFill>
                <a:srgbClr val="b3b3b3"/>
              </a:solidFill>
            </a:ln>
          </c:spPr>
        </c:majorGridlines>
        <c:numFmt formatCode="0.0%;\(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2321378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Medicare rotary-wing HH transports, 2010-2024</a:t>
            </a:r>
          </a:p>
        </c:rich>
      </c:tx>
      <c:overlay val="0"/>
      <c:spPr>
        <a:noFill/>
        <a:ln w="0">
          <a:noFill/>
        </a:ln>
      </c:spPr>
    </c:title>
    <c:autoTitleDeleted val="0"/>
    <c:plotArea>
      <c:lineChart>
        <c:grouping val="standard"/>
        <c:varyColors val="0"/>
        <c:ser>
          <c:idx val="0"/>
          <c:order val="0"/>
          <c:tx>
            <c:strRef>
              <c:f>Air_Ambulance_IFT!B5</c:f>
              <c:strCache>
                <c:ptCount val="1"/>
                <c:pt idx="0">
                  <c:v>Total rotary transports</c:v>
                </c:pt>
              </c:strCache>
            </c:strRef>
          </c:tx>
          <c:spPr>
            <a:solidFill>
              <a:srgbClr val="00294c"/>
            </a:solidFill>
            <a:ln w="25920">
              <a:solidFill>
                <a:srgbClr val="00294c"/>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Air_Ambulance_IFT!$A$6:$A$20</c:f>
              <c:strCach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strCache>
            </c:strRef>
          </c:cat>
          <c:val>
            <c:numRef>
              <c:f>Air_Ambulance_IFT!$B$6:$B$20</c:f>
              <c:numCache>
                <c:formatCode>#,##0;\(#,##0\);\-</c:formatCode>
                <c:ptCount val="15"/>
                <c:pt idx="0">
                  <c:v>51683</c:v>
                </c:pt>
                <c:pt idx="1">
                  <c:v>54878</c:v>
                </c:pt>
                <c:pt idx="2">
                  <c:v>59280</c:v>
                </c:pt>
                <c:pt idx="3">
                  <c:v>57745</c:v>
                </c:pt>
                <c:pt idx="4">
                  <c:v>60929</c:v>
                </c:pt>
                <c:pt idx="5">
                  <c:v>66077.1</c:v>
                </c:pt>
                <c:pt idx="6">
                  <c:v>69160.3</c:v>
                </c:pt>
                <c:pt idx="7">
                  <c:v>69530.8</c:v>
                </c:pt>
                <c:pt idx="8">
                  <c:v>68837</c:v>
                </c:pt>
                <c:pt idx="9">
                  <c:v>70440</c:v>
                </c:pt>
                <c:pt idx="10">
                  <c:v>65478</c:v>
                </c:pt>
                <c:pt idx="11">
                  <c:v>74365.7</c:v>
                </c:pt>
                <c:pt idx="12">
                  <c:v>67966.4</c:v>
                </c:pt>
                <c:pt idx="13">
                  <c:v>67956</c:v>
                </c:pt>
                <c:pt idx="14">
                  <c:v>66607.9</c:v>
                </c:pt>
              </c:numCache>
            </c:numRef>
          </c:val>
          <c:smooth val="1"/>
        </c:ser>
        <c:hiLowLines>
          <c:spPr>
            <a:ln w="0">
              <a:noFill/>
            </a:ln>
          </c:spPr>
        </c:hiLowLines>
        <c:marker val="0"/>
        <c:axId val="55857411"/>
        <c:axId val="83597699"/>
      </c:lineChart>
      <c:catAx>
        <c:axId val="55857411"/>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83597699"/>
        <c:crosses val="autoZero"/>
        <c:auto val="1"/>
        <c:lblAlgn val="ctr"/>
        <c:lblOffset val="100"/>
        <c:noMultiLvlLbl val="0"/>
      </c:catAx>
      <c:valAx>
        <c:axId val="83597699"/>
        <c:scaling>
          <c:orientation val="minMax"/>
        </c:scaling>
        <c:delete val="0"/>
        <c:axPos val="l"/>
        <c:majorGridlines>
          <c:spPr>
            <a:ln w="0">
              <a:solidFill>
                <a:srgbClr val="b3b3b3"/>
              </a:solidFill>
            </a:ln>
          </c:spPr>
        </c:majorGridlines>
        <c:numFmt formatCode="#,##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5585741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Dialysis-pair Medicare transports, 2019-2024</a:t>
            </a:r>
          </a:p>
        </c:rich>
      </c:tx>
      <c:overlay val="0"/>
      <c:spPr>
        <a:noFill/>
        <a:ln w="0">
          <a:noFill/>
        </a:ln>
      </c:spPr>
    </c:title>
    <c:autoTitleDeleted val="0"/>
    <c:plotArea>
      <c:lineChart>
        <c:grouping val="standard"/>
        <c:varyColors val="0"/>
        <c:ser>
          <c:idx val="0"/>
          <c:order val="0"/>
          <c:tx>
            <c:strRef>
              <c:f>Dialysis_ESRD_Channel!B5</c:f>
              <c:strCache>
                <c:ptCount val="1"/>
                <c:pt idx="0">
                  <c:v>Dialysis-pair transports</c:v>
                </c:pt>
              </c:strCache>
            </c:strRef>
          </c:tx>
          <c:spPr>
            <a:solidFill>
              <a:srgbClr val="00294c"/>
            </a:solidFill>
            <a:ln w="25920">
              <a:solidFill>
                <a:srgbClr val="00294c"/>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Dialysis_ESRD_Channel!$A$6:$A$11</c:f>
              <c:strCache>
                <c:ptCount val="6"/>
                <c:pt idx="0">
                  <c:v>2019</c:v>
                </c:pt>
                <c:pt idx="1">
                  <c:v>2020</c:v>
                </c:pt>
                <c:pt idx="2">
                  <c:v>2021</c:v>
                </c:pt>
                <c:pt idx="3">
                  <c:v>2022</c:v>
                </c:pt>
                <c:pt idx="4">
                  <c:v>2023</c:v>
                </c:pt>
                <c:pt idx="5">
                  <c:v>2024</c:v>
                </c:pt>
              </c:strCache>
            </c:strRef>
          </c:cat>
          <c:val>
            <c:numRef>
              <c:f>Dialysis_ESRD_Channel!$B$6:$B$11</c:f>
              <c:numCache>
                <c:formatCode>#,##0;\(#,##0\);\-</c:formatCode>
                <c:ptCount val="6"/>
                <c:pt idx="0">
                  <c:v>2332855.4</c:v>
                </c:pt>
                <c:pt idx="1">
                  <c:v>2248785.1</c:v>
                </c:pt>
                <c:pt idx="2">
                  <c:v>1811190.3</c:v>
                </c:pt>
                <c:pt idx="3">
                  <c:v>1191980.7</c:v>
                </c:pt>
                <c:pt idx="4">
                  <c:v>909035.7</c:v>
                </c:pt>
                <c:pt idx="5">
                  <c:v>857750</c:v>
                </c:pt>
              </c:numCache>
            </c:numRef>
          </c:val>
          <c:smooth val="1"/>
        </c:ser>
        <c:hiLowLines>
          <c:spPr>
            <a:ln w="0">
              <a:noFill/>
            </a:ln>
          </c:spPr>
        </c:hiLowLines>
        <c:marker val="0"/>
        <c:axId val="50383245"/>
        <c:axId val="22415813"/>
      </c:lineChart>
      <c:catAx>
        <c:axId val="50383245"/>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22415813"/>
        <c:crosses val="autoZero"/>
        <c:auto val="1"/>
        <c:lblAlgn val="ctr"/>
        <c:lblOffset val="100"/>
        <c:noMultiLvlLbl val="0"/>
      </c:catAx>
      <c:valAx>
        <c:axId val="22415813"/>
        <c:scaling>
          <c:orientation val="minMax"/>
        </c:scaling>
        <c:delete val="0"/>
        <c:axPos val="l"/>
        <c:majorGridlines>
          <c:spPr>
            <a:ln w="0">
              <a:solidFill>
                <a:srgbClr val="b3b3b3"/>
              </a:solidFill>
            </a:ln>
          </c:spPr>
        </c:majorGridlines>
        <c:numFmt formatCode="#,##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5038324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One payer lever, three trajectories (2019 = 100)</a:t>
            </a:r>
          </a:p>
        </c:rich>
      </c:tx>
      <c:overlay val="0"/>
      <c:spPr>
        <a:noFill/>
        <a:ln w="0">
          <a:noFill/>
        </a:ln>
      </c:spPr>
    </c:title>
    <c:autoTitleDeleted val="0"/>
    <c:plotArea>
      <c:lineChart>
        <c:grouping val="standard"/>
        <c:varyColors val="0"/>
        <c:ser>
          <c:idx val="0"/>
          <c:order val="0"/>
          <c:tx>
            <c:strRef>
              <c:f>Dialysis_ESRD_Channel!H5</c:f>
              <c:strCache>
                <c:ptCount val="1"/>
                <c:pt idx="0">
                  <c:v>Dialysis pairs</c:v>
                </c:pt>
              </c:strCache>
            </c:strRef>
          </c:tx>
          <c:spPr>
            <a:solidFill>
              <a:srgbClr val="00294c"/>
            </a:solidFill>
            <a:ln w="25920">
              <a:solidFill>
                <a:srgbClr val="00294c"/>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Dialysis_ESRD_Channel!$G$6:$G$11</c:f>
              <c:strCache>
                <c:ptCount val="6"/>
                <c:pt idx="0">
                  <c:v>2019</c:v>
                </c:pt>
                <c:pt idx="1">
                  <c:v>2020</c:v>
                </c:pt>
                <c:pt idx="2">
                  <c:v>2021</c:v>
                </c:pt>
                <c:pt idx="3">
                  <c:v>2022</c:v>
                </c:pt>
                <c:pt idx="4">
                  <c:v>2023</c:v>
                </c:pt>
                <c:pt idx="5">
                  <c:v>2024</c:v>
                </c:pt>
              </c:strCache>
            </c:strRef>
          </c:cat>
          <c:val>
            <c:numRef>
              <c:f>Dialysis_ESRD_Channel!$H$6:$H$11</c:f>
              <c:numCache>
                <c:formatCode>#,##0.0;\(#,##0.0\);\-</c:formatCode>
                <c:ptCount val="6"/>
                <c:pt idx="0">
                  <c:v>100</c:v>
                </c:pt>
                <c:pt idx="1">
                  <c:v>96.3962489916863</c:v>
                </c:pt>
                <c:pt idx="2">
                  <c:v>77.6383439796569</c:v>
                </c:pt>
                <c:pt idx="3">
                  <c:v>51.0953529310046</c:v>
                </c:pt>
                <c:pt idx="4">
                  <c:v>38.9666543412849</c:v>
                </c:pt>
                <c:pt idx="5">
                  <c:v>36.7682454729084</c:v>
                </c:pt>
              </c:numCache>
            </c:numRef>
          </c:val>
          <c:smooth val="1"/>
        </c:ser>
        <c:ser>
          <c:idx val="1"/>
          <c:order val="1"/>
          <c:tx>
            <c:strRef>
              <c:f>Dialysis_ESRD_Channel!I5</c:f>
              <c:strCache>
                <c:ptCount val="1"/>
                <c:pt idx="0">
                  <c:v>Hospital-to-hospital</c:v>
                </c:pt>
              </c:strCache>
            </c:strRef>
          </c:tx>
          <c:spPr>
            <a:solidFill>
              <a:srgbClr val="2e7d6b"/>
            </a:solidFill>
            <a:ln w="25920">
              <a:solidFill>
                <a:srgbClr val="2e7d6b"/>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Dialysis_ESRD_Channel!$G$6:$G$11</c:f>
              <c:strCache>
                <c:ptCount val="6"/>
                <c:pt idx="0">
                  <c:v>2019</c:v>
                </c:pt>
                <c:pt idx="1">
                  <c:v>2020</c:v>
                </c:pt>
                <c:pt idx="2">
                  <c:v>2021</c:v>
                </c:pt>
                <c:pt idx="3">
                  <c:v>2022</c:v>
                </c:pt>
                <c:pt idx="4">
                  <c:v>2023</c:v>
                </c:pt>
                <c:pt idx="5">
                  <c:v>2024</c:v>
                </c:pt>
              </c:strCache>
            </c:strRef>
          </c:cat>
          <c:val>
            <c:numRef>
              <c:f>Dialysis_ESRD_Channel!$I$6:$I$11</c:f>
              <c:numCache>
                <c:formatCode>#,##0.0;\(#,##0.0\);\-</c:formatCode>
                <c:ptCount val="6"/>
                <c:pt idx="0">
                  <c:v>100</c:v>
                </c:pt>
                <c:pt idx="1">
                  <c:v>86.3437498049642</c:v>
                </c:pt>
                <c:pt idx="2">
                  <c:v>79.112045499733</c:v>
                </c:pt>
                <c:pt idx="3">
                  <c:v>73.5722265464444</c:v>
                </c:pt>
                <c:pt idx="4">
                  <c:v>74.6638920317514</c:v>
                </c:pt>
                <c:pt idx="5">
                  <c:v>77.7248172013099</c:v>
                </c:pt>
              </c:numCache>
            </c:numRef>
          </c:val>
          <c:smooth val="1"/>
        </c:ser>
        <c:ser>
          <c:idx val="2"/>
          <c:order val="2"/>
          <c:tx>
            <c:strRef>
              <c:f>Dialysis_ESRD_Channel!J5</c:f>
              <c:strCache>
                <c:ptCount val="1"/>
                <c:pt idx="0">
                  <c:v>Rotary-wing HH</c:v>
                </c:pt>
              </c:strCache>
            </c:strRef>
          </c:tx>
          <c:spPr>
            <a:solidFill>
              <a:srgbClr val="3e7cb1"/>
            </a:solidFill>
            <a:ln w="25920">
              <a:solidFill>
                <a:srgbClr val="3e7cb1"/>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Dialysis_ESRD_Channel!$G$6:$G$11</c:f>
              <c:strCache>
                <c:ptCount val="6"/>
                <c:pt idx="0">
                  <c:v>2019</c:v>
                </c:pt>
                <c:pt idx="1">
                  <c:v>2020</c:v>
                </c:pt>
                <c:pt idx="2">
                  <c:v>2021</c:v>
                </c:pt>
                <c:pt idx="3">
                  <c:v>2022</c:v>
                </c:pt>
                <c:pt idx="4">
                  <c:v>2023</c:v>
                </c:pt>
                <c:pt idx="5">
                  <c:v>2024</c:v>
                </c:pt>
              </c:strCache>
            </c:strRef>
          </c:cat>
          <c:val>
            <c:numRef>
              <c:f>Dialysis_ESRD_Channel!$J$6:$J$11</c:f>
              <c:numCache>
                <c:formatCode>#,##0.0;\(#,##0.0\);\-</c:formatCode>
                <c:ptCount val="6"/>
                <c:pt idx="0">
                  <c:v>100</c:v>
                </c:pt>
                <c:pt idx="1">
                  <c:v>92.9557069846678</c:v>
                </c:pt>
                <c:pt idx="2">
                  <c:v>105.573111868257</c:v>
                </c:pt>
                <c:pt idx="3">
                  <c:v>96.488358886996</c:v>
                </c:pt>
                <c:pt idx="4">
                  <c:v>96.473594548552</c:v>
                </c:pt>
                <c:pt idx="5">
                  <c:v>94.5597671777399</c:v>
                </c:pt>
              </c:numCache>
            </c:numRef>
          </c:val>
          <c:smooth val="1"/>
        </c:ser>
        <c:hiLowLines>
          <c:spPr>
            <a:ln w="0">
              <a:noFill/>
            </a:ln>
          </c:spPr>
        </c:hiLowLines>
        <c:marker val="0"/>
        <c:axId val="14258530"/>
        <c:axId val="5093283"/>
      </c:lineChart>
      <c:catAx>
        <c:axId val="14258530"/>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5093283"/>
        <c:crosses val="autoZero"/>
        <c:auto val="1"/>
        <c:lblAlgn val="ctr"/>
        <c:lblOffset val="100"/>
        <c:noMultiLvlLbl val="0"/>
      </c:catAx>
      <c:valAx>
        <c:axId val="5093283"/>
        <c:scaling>
          <c:orientation val="minMax"/>
        </c:scaling>
        <c:delete val="0"/>
        <c:axPos val="l"/>
        <c:majorGridlines>
          <c:spPr>
            <a:ln w="0">
              <a:solidFill>
                <a:srgbClr val="b3b3b3"/>
              </a:solidFill>
            </a:ln>
          </c:spPr>
        </c:majorGridlines>
        <c:numFmt formatCode="#,##0.0;\(#,##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1425853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The payment update is CPI-driven and volatile</a:t>
            </a:r>
          </a:p>
        </c:rich>
      </c:tx>
      <c:overlay val="0"/>
      <c:spPr>
        <a:noFill/>
        <a:ln w="0">
          <a:noFill/>
        </a:ln>
      </c:spPr>
    </c:title>
    <c:autoTitleDeleted val="0"/>
    <c:plotArea>
      <c:barChart>
        <c:barDir val="col"/>
        <c:grouping val="clustered"/>
        <c:varyColors val="0"/>
        <c:ser>
          <c:idx val="0"/>
          <c:order val="0"/>
          <c:spPr>
            <a:solidFill>
              <a:srgbClr val="00294c"/>
            </a:solidFill>
            <a:ln w="25920">
              <a:solidFill>
                <a:srgbClr val="00294c"/>
              </a:solidFill>
              <a:round/>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Payment_Rules!$A$16:$A$20</c:f>
              <c:strCache>
                <c:ptCount val="5"/>
                <c:pt idx="0">
                  <c:v>2020</c:v>
                </c:pt>
                <c:pt idx="1">
                  <c:v>2021</c:v>
                </c:pt>
                <c:pt idx="2">
                  <c:v>2022</c:v>
                </c:pt>
                <c:pt idx="3">
                  <c:v>2023</c:v>
                </c:pt>
                <c:pt idx="4">
                  <c:v>2024</c:v>
                </c:pt>
              </c:strCache>
            </c:strRef>
          </c:cat>
          <c:val>
            <c:numRef>
              <c:f>Payment_Rules!$B$16:$B$20</c:f>
              <c:numCache>
                <c:formatCode>0.0%;\(0.0%\);\-</c:formatCode>
                <c:ptCount val="5"/>
                <c:pt idx="0">
                  <c:v>0.009</c:v>
                </c:pt>
                <c:pt idx="1">
                  <c:v>0.002</c:v>
                </c:pt>
                <c:pt idx="2">
                  <c:v>0.051</c:v>
                </c:pt>
                <c:pt idx="3">
                  <c:v>0.087</c:v>
                </c:pt>
                <c:pt idx="4">
                  <c:v>0.026</c:v>
                </c:pt>
              </c:numCache>
            </c:numRef>
          </c:val>
        </c:ser>
        <c:gapWidth val="150"/>
        <c:overlap val="0"/>
        <c:axId val="69337502"/>
        <c:axId val="40477671"/>
      </c:barChart>
      <c:catAx>
        <c:axId val="69337502"/>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40477671"/>
        <c:crosses val="autoZero"/>
        <c:auto val="1"/>
        <c:lblAlgn val="ctr"/>
        <c:lblOffset val="100"/>
        <c:noMultiLvlLbl val="0"/>
      </c:catAx>
      <c:valAx>
        <c:axId val="40477671"/>
        <c:scaling>
          <c:orientation val="minMax"/>
        </c:scaling>
        <c:delete val="0"/>
        <c:axPos val="l"/>
        <c:majorGridlines>
          <c:spPr>
            <a:ln w="0">
              <a:solidFill>
                <a:srgbClr val="b3b3b3"/>
              </a:solidFill>
            </a:ln>
          </c:spPr>
        </c:majorGridlines>
        <c:numFmt formatCode="0.0%;\(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6933750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Published commercial allowed as a multiple of Medicare</a:t>
            </a:r>
          </a:p>
        </c:rich>
      </c:tx>
      <c:overlay val="0"/>
      <c:spPr>
        <a:noFill/>
        <a:ln w="0">
          <a:noFill/>
        </a:ln>
      </c:spPr>
    </c:title>
    <c:autoTitleDeleted val="0"/>
    <c:plotArea>
      <c:barChart>
        <c:barDir val="col"/>
        <c:grouping val="clustered"/>
        <c:varyColors val="0"/>
        <c:ser>
          <c:idx val="0"/>
          <c:order val="0"/>
          <c:spPr>
            <a:solidFill>
              <a:srgbClr val="00294c"/>
            </a:solidFill>
            <a:ln w="25920">
              <a:solidFill>
                <a:srgbClr val="00294c"/>
              </a:solidFill>
              <a:round/>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Payer_Rates_Commercial!$A$21:$A$22</c:f>
              <c:strCache>
                <c:ptCount val="2"/>
                <c:pt idx="0">
                  <c:v>Rotary-wing air: commercial allowed over Medicare, 2020, same source</c:v>
                </c:pt>
                <c:pt idx="1">
                  <c:v>Ground ALS emergency: FAIR 2020 commercial allowed over Medicare 2024 claims-derived ALS1-E allowed per transport</c:v>
                </c:pt>
              </c:strCache>
            </c:strRef>
          </c:cat>
          <c:val>
            <c:numRef>
              <c:f>Payer_Rates_Commercial!$B$21:$B$22</c:f>
              <c:numCache>
                <c:formatCode>0.0\x</c:formatCode>
                <c:ptCount val="2"/>
                <c:pt idx="0">
                  <c:v>4.99277881786574</c:v>
                </c:pt>
                <c:pt idx="1">
                  <c:v>1.57916666666667</c:v>
                </c:pt>
              </c:numCache>
            </c:numRef>
          </c:val>
        </c:ser>
        <c:gapWidth val="150"/>
        <c:overlap val="0"/>
        <c:axId val="17498492"/>
        <c:axId val="89468563"/>
      </c:barChart>
      <c:catAx>
        <c:axId val="17498492"/>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89468563"/>
        <c:crosses val="autoZero"/>
        <c:auto val="1"/>
        <c:lblAlgn val="ctr"/>
        <c:lblOffset val="100"/>
        <c:noMultiLvlLbl val="0"/>
      </c:catAx>
      <c:valAx>
        <c:axId val="89468563"/>
        <c:scaling>
          <c:orientation val="minMax"/>
        </c:scaling>
        <c:delete val="0"/>
        <c:axPos val="l"/>
        <c:majorGridlines>
          <c:spPr>
            <a:ln w="0">
              <a:solidFill>
                <a:srgbClr val="b3b3b3"/>
              </a:solidFill>
            </a:ln>
          </c:spPr>
        </c:majorGridlines>
        <c:numFmt formatCode="0.0\x"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1749849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Billing NPIs, 2014-2024</a:t>
            </a:r>
          </a:p>
        </c:rich>
      </c:tx>
      <c:overlay val="0"/>
      <c:spPr>
        <a:noFill/>
        <a:ln w="0">
          <a:noFill/>
        </a:ln>
      </c:spPr>
    </c:title>
    <c:autoTitleDeleted val="0"/>
    <c:plotArea>
      <c:lineChart>
        <c:grouping val="standard"/>
        <c:varyColors val="0"/>
        <c:ser>
          <c:idx val="0"/>
          <c:order val="0"/>
          <c:tx>
            <c:strRef>
              <c:f>Supplier_Series_Raw!B4</c:f>
              <c:strCache>
                <c:ptCount val="1"/>
                <c:pt idx="0">
                  <c:v>Billing NPIs (ground base codes)</c:v>
                </c:pt>
              </c:strCache>
            </c:strRef>
          </c:tx>
          <c:spPr>
            <a:solidFill>
              <a:srgbClr val="00294c"/>
            </a:solidFill>
            <a:ln w="25920">
              <a:solidFill>
                <a:srgbClr val="00294c"/>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Supplier_Series_Raw!$A$5:$A$15</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Supplier_Series_Raw!$B$5:$B$15</c:f>
              <c:numCache>
                <c:formatCode>#,##0;\(#,##0\);\-</c:formatCode>
                <c:ptCount val="11"/>
                <c:pt idx="0">
                  <c:v>9305</c:v>
                </c:pt>
                <c:pt idx="1">
                  <c:v>9232</c:v>
                </c:pt>
                <c:pt idx="2">
                  <c:v>9137</c:v>
                </c:pt>
                <c:pt idx="3">
                  <c:v>9109</c:v>
                </c:pt>
                <c:pt idx="4">
                  <c:v>9017</c:v>
                </c:pt>
                <c:pt idx="5">
                  <c:v>9028</c:v>
                </c:pt>
                <c:pt idx="6">
                  <c:v>8941</c:v>
                </c:pt>
                <c:pt idx="7">
                  <c:v>8947</c:v>
                </c:pt>
                <c:pt idx="8">
                  <c:v>8833</c:v>
                </c:pt>
                <c:pt idx="9">
                  <c:v>8759</c:v>
                </c:pt>
                <c:pt idx="10">
                  <c:v>8721</c:v>
                </c:pt>
              </c:numCache>
            </c:numRef>
          </c:val>
          <c:smooth val="1"/>
        </c:ser>
        <c:hiLowLines>
          <c:spPr>
            <a:ln w="0">
              <a:noFill/>
            </a:ln>
          </c:spPr>
        </c:hiLowLines>
        <c:marker val="0"/>
        <c:axId val="58186785"/>
        <c:axId val="57706574"/>
      </c:lineChart>
      <c:catAx>
        <c:axId val="58186785"/>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57706574"/>
        <c:crosses val="autoZero"/>
        <c:auto val="1"/>
        <c:lblAlgn val="ctr"/>
        <c:lblOffset val="100"/>
        <c:noMultiLvlLbl val="0"/>
      </c:catAx>
      <c:valAx>
        <c:axId val="57706574"/>
        <c:scaling>
          <c:orientation val="minMax"/>
        </c:scaling>
        <c:delete val="0"/>
        <c:axPos val="l"/>
        <c:majorGridlines>
          <c:spPr>
            <a:ln w="0">
              <a:solidFill>
                <a:srgbClr val="b3b3b3"/>
              </a:solidFill>
            </a:ln>
          </c:spPr>
        </c:majorGridlines>
        <c:numFmt formatCode="#,##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5818678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Approved Medicare ground services, 2014-2024</a:t>
            </a:r>
          </a:p>
        </c:rich>
      </c:tx>
      <c:overlay val="0"/>
      <c:spPr>
        <a:noFill/>
        <a:ln w="0">
          <a:noFill/>
        </a:ln>
      </c:spPr>
    </c:title>
    <c:autoTitleDeleted val="0"/>
    <c:plotArea>
      <c:lineChart>
        <c:grouping val="standard"/>
        <c:varyColors val="0"/>
        <c:ser>
          <c:idx val="0"/>
          <c:order val="0"/>
          <c:tx>
            <c:strRef>
              <c:f>Supplier_Series_Raw!C4</c:f>
              <c:strCache>
                <c:ptCount val="1"/>
                <c:pt idx="0">
                  <c:v>Approved services</c:v>
                </c:pt>
              </c:strCache>
            </c:strRef>
          </c:tx>
          <c:spPr>
            <a:solidFill>
              <a:srgbClr val="00294c"/>
            </a:solidFill>
            <a:ln w="25920">
              <a:solidFill>
                <a:srgbClr val="00294c"/>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Supplier_Series_Raw!$A$5:$A$15</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Supplier_Series_Raw!$C$5:$C$15</c:f>
              <c:numCache>
                <c:formatCode>#,##0;\(#,##0\);\-</c:formatCode>
                <c:ptCount val="11"/>
                <c:pt idx="0">
                  <c:v>15037862</c:v>
                </c:pt>
                <c:pt idx="1">
                  <c:v>14235792</c:v>
                </c:pt>
                <c:pt idx="2">
                  <c:v>13783259</c:v>
                </c:pt>
                <c:pt idx="3">
                  <c:v>13713824</c:v>
                </c:pt>
                <c:pt idx="4">
                  <c:v>13358909</c:v>
                </c:pt>
                <c:pt idx="5">
                  <c:v>12890235</c:v>
                </c:pt>
                <c:pt idx="6">
                  <c:v>11531316</c:v>
                </c:pt>
                <c:pt idx="7">
                  <c:v>10902433</c:v>
                </c:pt>
                <c:pt idx="8">
                  <c:v>10084704</c:v>
                </c:pt>
                <c:pt idx="9">
                  <c:v>9660141</c:v>
                </c:pt>
                <c:pt idx="10">
                  <c:v>9542103</c:v>
                </c:pt>
              </c:numCache>
            </c:numRef>
          </c:val>
          <c:smooth val="1"/>
        </c:ser>
        <c:hiLowLines>
          <c:spPr>
            <a:ln w="0">
              <a:noFill/>
            </a:ln>
          </c:spPr>
        </c:hiLowLines>
        <c:marker val="0"/>
        <c:axId val="29913605"/>
        <c:axId val="47032452"/>
      </c:lineChart>
      <c:catAx>
        <c:axId val="29913605"/>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47032452"/>
        <c:crosses val="autoZero"/>
        <c:auto val="1"/>
        <c:lblAlgn val="ctr"/>
        <c:lblOffset val="100"/>
        <c:noMultiLvlLbl val="0"/>
      </c:catAx>
      <c:valAx>
        <c:axId val="47032452"/>
        <c:scaling>
          <c:orientation val="minMax"/>
        </c:scaling>
        <c:delete val="0"/>
        <c:axPos val="l"/>
        <c:majorGridlines>
          <c:spPr>
            <a:ln w="0">
              <a:solidFill>
                <a:srgbClr val="b3b3b3"/>
              </a:solidFill>
            </a:ln>
          </c:spPr>
        </c:majorGridlines>
        <c:numFmt formatCode="#,##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2991360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Median services per billing organization</a:t>
            </a:r>
          </a:p>
        </c:rich>
      </c:tx>
      <c:overlay val="0"/>
      <c:spPr>
        <a:noFill/>
        <a:ln w="0">
          <a:noFill/>
        </a:ln>
      </c:spPr>
    </c:title>
    <c:autoTitleDeleted val="0"/>
    <c:plotArea>
      <c:lineChart>
        <c:grouping val="standard"/>
        <c:varyColors val="0"/>
        <c:ser>
          <c:idx val="0"/>
          <c:order val="0"/>
          <c:tx>
            <c:strRef>
              <c:f>Supplier_Series_Raw!F4</c:f>
              <c:strCache>
                <c:ptCount val="1"/>
                <c:pt idx="0">
                  <c:v>Median services per NPI</c:v>
                </c:pt>
              </c:strCache>
            </c:strRef>
          </c:tx>
          <c:spPr>
            <a:solidFill>
              <a:srgbClr val="00294c"/>
            </a:solidFill>
            <a:ln w="25920">
              <a:solidFill>
                <a:srgbClr val="00294c"/>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Supplier_Series_Raw!$A$5:$A$15</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Supplier_Series_Raw!$F$5:$F$15</c:f>
              <c:numCache>
                <c:formatCode>#,##0;\(#,##0\);\-</c:formatCode>
                <c:ptCount val="11"/>
                <c:pt idx="0">
                  <c:v>344</c:v>
                </c:pt>
                <c:pt idx="1">
                  <c:v>334</c:v>
                </c:pt>
                <c:pt idx="2">
                  <c:v>336</c:v>
                </c:pt>
                <c:pt idx="3">
                  <c:v>338</c:v>
                </c:pt>
                <c:pt idx="4">
                  <c:v>340</c:v>
                </c:pt>
                <c:pt idx="5">
                  <c:v>336</c:v>
                </c:pt>
                <c:pt idx="6">
                  <c:v>317</c:v>
                </c:pt>
                <c:pt idx="7">
                  <c:v>314</c:v>
                </c:pt>
                <c:pt idx="8">
                  <c:v>302</c:v>
                </c:pt>
                <c:pt idx="9">
                  <c:v>280</c:v>
                </c:pt>
                <c:pt idx="10">
                  <c:v>279</c:v>
                </c:pt>
              </c:numCache>
            </c:numRef>
          </c:val>
          <c:smooth val="1"/>
        </c:ser>
        <c:hiLowLines>
          <c:spPr>
            <a:ln w="0">
              <a:noFill/>
            </a:ln>
          </c:spPr>
        </c:hiLowLines>
        <c:marker val="0"/>
        <c:axId val="94772044"/>
        <c:axId val="21737446"/>
      </c:lineChart>
      <c:catAx>
        <c:axId val="94772044"/>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21737446"/>
        <c:crosses val="autoZero"/>
        <c:auto val="1"/>
        <c:lblAlgn val="ctr"/>
        <c:lblOffset val="100"/>
        <c:noMultiLvlLbl val="0"/>
      </c:catAx>
      <c:valAx>
        <c:axId val="21737446"/>
        <c:scaling>
          <c:orientation val="minMax"/>
        </c:scaling>
        <c:delete val="0"/>
        <c:axPos val="l"/>
        <c:majorGridlines>
          <c:spPr>
            <a:ln w="0">
              <a:solidFill>
                <a:srgbClr val="b3b3b3"/>
              </a:solidFill>
            </a:ln>
          </c:spPr>
        </c:majorGridlines>
        <c:numFmt formatCode="#,##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9477204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Concentration moved only after 2021</a:t>
            </a:r>
          </a:p>
        </c:rich>
      </c:tx>
      <c:overlay val="0"/>
      <c:spPr>
        <a:noFill/>
        <a:ln w="0">
          <a:noFill/>
        </a:ln>
      </c:spPr>
    </c:title>
    <c:autoTitleDeleted val="0"/>
    <c:plotArea>
      <c:lineChart>
        <c:grouping val="standard"/>
        <c:varyColors val="0"/>
        <c:ser>
          <c:idx val="0"/>
          <c:order val="0"/>
          <c:tx>
            <c:strRef>
              <c:f>Supplier_Series_Raw!D4</c:f>
              <c:strCache>
                <c:ptCount val="1"/>
                <c:pt idx="0">
                  <c:v>Top-10 NPI share of services</c:v>
                </c:pt>
              </c:strCache>
            </c:strRef>
          </c:tx>
          <c:spPr>
            <a:solidFill>
              <a:srgbClr val="00294c"/>
            </a:solidFill>
            <a:ln w="25920">
              <a:solidFill>
                <a:srgbClr val="00294c"/>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Supplier_Series_Raw!$A$5:$A$15</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Supplier_Series_Raw!$D$5:$D$15</c:f>
              <c:numCache>
                <c:formatCode>0.0%;\(0.0%\);\-</c:formatCode>
                <c:ptCount val="11"/>
                <c:pt idx="0">
                  <c:v>0.0509</c:v>
                </c:pt>
                <c:pt idx="1">
                  <c:v>0.0492</c:v>
                </c:pt>
                <c:pt idx="2">
                  <c:v>0.0508</c:v>
                </c:pt>
                <c:pt idx="3">
                  <c:v>0.0518</c:v>
                </c:pt>
                <c:pt idx="4">
                  <c:v>0.0525</c:v>
                </c:pt>
                <c:pt idx="5">
                  <c:v>0.0526586206329162</c:v>
                </c:pt>
                <c:pt idx="6">
                  <c:v>0.0522</c:v>
                </c:pt>
                <c:pt idx="7">
                  <c:v>0.0526</c:v>
                </c:pt>
                <c:pt idx="8">
                  <c:v>0.0582</c:v>
                </c:pt>
                <c:pt idx="9">
                  <c:v>0.06</c:v>
                </c:pt>
                <c:pt idx="10">
                  <c:v>0.0616932163357791</c:v>
                </c:pt>
              </c:numCache>
            </c:numRef>
          </c:val>
          <c:smooth val="1"/>
        </c:ser>
        <c:ser>
          <c:idx val="1"/>
          <c:order val="1"/>
          <c:tx>
            <c:strRef>
              <c:f>Supplier_Series_Raw!E4</c:f>
              <c:strCache>
                <c:ptCount val="1"/>
                <c:pt idx="0">
                  <c:v>Top-100 NPI share</c:v>
                </c:pt>
              </c:strCache>
            </c:strRef>
          </c:tx>
          <c:spPr>
            <a:solidFill>
              <a:srgbClr val="2e7d6b"/>
            </a:solidFill>
            <a:ln w="25920">
              <a:solidFill>
                <a:srgbClr val="2e7d6b"/>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Supplier_Series_Raw!$A$5:$A$15</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Supplier_Series_Raw!$E$5:$E$15</c:f>
              <c:numCache>
                <c:formatCode>0.0%;\(0.0%\);\-</c:formatCode>
                <c:ptCount val="11"/>
                <c:pt idx="0">
                  <c:v>0.219</c:v>
                </c:pt>
                <c:pt idx="1">
                  <c:v>0.2219</c:v>
                </c:pt>
                <c:pt idx="2">
                  <c:v>0.2208</c:v>
                </c:pt>
                <c:pt idx="3">
                  <c:v>0.2202</c:v>
                </c:pt>
                <c:pt idx="4">
                  <c:v>0.2223</c:v>
                </c:pt>
                <c:pt idx="5">
                  <c:v>0.219389885293869</c:v>
                </c:pt>
                <c:pt idx="6">
                  <c:v>0.2173</c:v>
                </c:pt>
                <c:pt idx="7">
                  <c:v>0.2182</c:v>
                </c:pt>
                <c:pt idx="8">
                  <c:v>0.2318</c:v>
                </c:pt>
                <c:pt idx="9">
                  <c:v>0.2412</c:v>
                </c:pt>
                <c:pt idx="10">
                  <c:v>0.245692862283833</c:v>
                </c:pt>
              </c:numCache>
            </c:numRef>
          </c:val>
          <c:smooth val="1"/>
        </c:ser>
        <c:hiLowLines>
          <c:spPr>
            <a:ln w="0">
              <a:noFill/>
            </a:ln>
          </c:spPr>
        </c:hiLowLines>
        <c:marker val="0"/>
        <c:axId val="72352167"/>
        <c:axId val="33425967"/>
      </c:lineChart>
      <c:catAx>
        <c:axId val="72352167"/>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33425967"/>
        <c:crosses val="autoZero"/>
        <c:auto val="1"/>
        <c:lblAlgn val="ctr"/>
        <c:lblOffset val="100"/>
        <c:noMultiLvlLbl val="0"/>
      </c:catAx>
      <c:valAx>
        <c:axId val="33425967"/>
        <c:scaling>
          <c:orientation val="minMax"/>
        </c:scaling>
        <c:delete val="0"/>
        <c:axPos val="l"/>
        <c:majorGridlines>
          <c:spPr>
            <a:ln w="0">
              <a:solidFill>
                <a:srgbClr val="b3b3b3"/>
              </a:solidFill>
            </a:ln>
          </c:spPr>
        </c:majorGridlines>
        <c:numFmt formatCode="0.0%;\(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7235216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The scheduled-transport exit: BLS non-emergency billers</a:t>
            </a:r>
          </a:p>
        </c:rich>
      </c:tx>
      <c:overlay val="0"/>
      <c:spPr>
        <a:noFill/>
        <a:ln w="0">
          <a:noFill/>
        </a:ln>
      </c:spPr>
    </c:title>
    <c:autoTitleDeleted val="0"/>
    <c:plotArea>
      <c:lineChart>
        <c:grouping val="standard"/>
        <c:varyColors val="0"/>
        <c:ser>
          <c:idx val="0"/>
          <c:order val="0"/>
          <c:tx>
            <c:strRef>
              <c:f>Supplier_Series_Raw!G4</c:f>
              <c:strCache>
                <c:ptCount val="1"/>
                <c:pt idx="0">
                  <c:v>NPIs billing BLS non-emergency (A0428)</c:v>
                </c:pt>
              </c:strCache>
            </c:strRef>
          </c:tx>
          <c:spPr>
            <a:solidFill>
              <a:srgbClr val="00294c"/>
            </a:solidFill>
            <a:ln w="25920">
              <a:solidFill>
                <a:srgbClr val="00294c"/>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Supplier_Series_Raw!$A$5:$A$15</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Supplier_Series_Raw!$G$5:$G$15</c:f>
              <c:numCache>
                <c:formatCode>#,##0;\(#,##0\);\-</c:formatCode>
                <c:ptCount val="11"/>
                <c:pt idx="0">
                  <c:v>3329</c:v>
                </c:pt>
                <c:pt idx="1">
                  <c:v>3263</c:v>
                </c:pt>
                <c:pt idx="2">
                  <c:v>3124</c:v>
                </c:pt>
                <c:pt idx="3">
                  <c:v>3108</c:v>
                </c:pt>
                <c:pt idx="4">
                  <c:v>3117</c:v>
                </c:pt>
                <c:pt idx="5">
                  <c:v>3075</c:v>
                </c:pt>
                <c:pt idx="6">
                  <c:v>3057</c:v>
                </c:pt>
                <c:pt idx="7">
                  <c:v>3055</c:v>
                </c:pt>
                <c:pt idx="8">
                  <c:v>2897</c:v>
                </c:pt>
                <c:pt idx="9">
                  <c:v>2772</c:v>
                </c:pt>
                <c:pt idx="10">
                  <c:v>2683</c:v>
                </c:pt>
              </c:numCache>
            </c:numRef>
          </c:val>
          <c:smooth val="1"/>
        </c:ser>
        <c:hiLowLines>
          <c:spPr>
            <a:ln w="0">
              <a:noFill/>
            </a:ln>
          </c:spPr>
        </c:hiLowLines>
        <c:marker val="0"/>
        <c:axId val="7236069"/>
        <c:axId val="78689988"/>
      </c:lineChart>
      <c:catAx>
        <c:axId val="7236069"/>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78689988"/>
        <c:crosses val="autoZero"/>
        <c:auto val="1"/>
        <c:lblAlgn val="ctr"/>
        <c:lblOffset val="100"/>
        <c:noMultiLvlLbl val="0"/>
      </c:catAx>
      <c:valAx>
        <c:axId val="78689988"/>
        <c:scaling>
          <c:orientation val="minMax"/>
        </c:scaling>
        <c:delete val="0"/>
        <c:axPos val="l"/>
        <c:majorGridlines>
          <c:spPr>
            <a:ln w="0">
              <a:solidFill>
                <a:srgbClr val="b3b3b3"/>
              </a:solidFill>
            </a:ln>
          </c:spPr>
        </c:majorGridlines>
        <c:numFmt formatCode="#,##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723606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Paid EMS employment (jobs)</a:t>
            </a:r>
          </a:p>
        </c:rich>
      </c:tx>
      <c:overlay val="0"/>
      <c:spPr>
        <a:noFill/>
        <a:ln w="0">
          <a:noFill/>
        </a:ln>
      </c:spPr>
    </c:title>
    <c:autoTitleDeleted val="0"/>
    <c:plotArea>
      <c:barChart>
        <c:barDir val="col"/>
        <c:grouping val="clustered"/>
        <c:varyColors val="0"/>
        <c:ser>
          <c:idx val="0"/>
          <c:order val="0"/>
          <c:spPr>
            <a:solidFill>
              <a:srgbClr val="00294c"/>
            </a:solidFill>
            <a:ln w="25920">
              <a:solidFill>
                <a:srgbClr val="00294c"/>
              </a:solidFill>
              <a:round/>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Workforce_Supply!$B$5:$E$5</c:f>
              <c:strCache>
                <c:ptCount val="4"/>
                <c:pt idx="0">
                  <c:v>May 2019 (combined 29-2040)</c:v>
                </c:pt>
                <c:pt idx="1">
                  <c:v>May 2024 EMTs (29-2042)</c:v>
                </c:pt>
                <c:pt idx="2">
                  <c:v>May 2024 paramedics (29-2043)</c:v>
                </c:pt>
                <c:pt idx="3">
                  <c:v>May 2024 combined</c:v>
                </c:pt>
              </c:strCache>
            </c:strRef>
          </c:cat>
          <c:val>
            <c:numRef>
              <c:f>Workforce_Supply!$B$6:$E$6</c:f>
              <c:numCache>
                <c:formatCode>#,##0;\(#,##0\);\-</c:formatCode>
                <c:ptCount val="4"/>
                <c:pt idx="0">
                  <c:v>260600</c:v>
                </c:pt>
                <c:pt idx="1">
                  <c:v>181000</c:v>
                </c:pt>
                <c:pt idx="2">
                  <c:v>101900</c:v>
                </c:pt>
                <c:pt idx="3">
                  <c:v>282900</c:v>
                </c:pt>
              </c:numCache>
            </c:numRef>
          </c:val>
        </c:ser>
        <c:gapWidth val="150"/>
        <c:overlap val="0"/>
        <c:axId val="14419011"/>
        <c:axId val="9109090"/>
      </c:barChart>
      <c:catAx>
        <c:axId val="14419011"/>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9109090"/>
        <c:crosses val="autoZero"/>
        <c:auto val="1"/>
        <c:lblAlgn val="ctr"/>
        <c:lblOffset val="100"/>
        <c:noMultiLvlLbl val="0"/>
      </c:catAx>
      <c:valAx>
        <c:axId val="9109090"/>
        <c:scaling>
          <c:orientation val="minMax"/>
        </c:scaling>
        <c:delete val="0"/>
        <c:axPos val="l"/>
        <c:majorGridlines>
          <c:spPr>
            <a:ln w="0">
              <a:solidFill>
                <a:srgbClr val="b3b3b3"/>
              </a:solidFill>
            </a:ln>
          </c:spPr>
        </c:majorGridlines>
        <c:numFmt formatCode="#,##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1441901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Median annual wage</a:t>
            </a:r>
          </a:p>
        </c:rich>
      </c:tx>
      <c:overlay val="0"/>
      <c:spPr>
        <a:noFill/>
        <a:ln w="0">
          <a:noFill/>
        </a:ln>
      </c:spPr>
    </c:title>
    <c:autoTitleDeleted val="0"/>
    <c:plotArea>
      <c:barChart>
        <c:barDir val="col"/>
        <c:grouping val="clustered"/>
        <c:varyColors val="0"/>
        <c:ser>
          <c:idx val="0"/>
          <c:order val="0"/>
          <c:spPr>
            <a:solidFill>
              <a:srgbClr val="00294c"/>
            </a:solidFill>
            <a:ln w="25920">
              <a:solidFill>
                <a:srgbClr val="00294c"/>
              </a:solidFill>
              <a:round/>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Workforce_Supply!$B$5:$D$5</c:f>
              <c:strCache>
                <c:ptCount val="3"/>
                <c:pt idx="0">
                  <c:v>May 2019 (combined 29-2040)</c:v>
                </c:pt>
                <c:pt idx="1">
                  <c:v>May 2024 EMTs (29-2042)</c:v>
                </c:pt>
                <c:pt idx="2">
                  <c:v>May 2024 paramedics (29-2043)</c:v>
                </c:pt>
              </c:strCache>
            </c:strRef>
          </c:cat>
          <c:val>
            <c:numRef>
              <c:f>Workforce_Supply!$B$7:$D$7</c:f>
              <c:numCache>
                <c:formatCode>\$#,##0;"($"#,##0\);\-</c:formatCode>
                <c:ptCount val="3"/>
                <c:pt idx="0">
                  <c:v>35400</c:v>
                </c:pt>
                <c:pt idx="1">
                  <c:v>41340</c:v>
                </c:pt>
                <c:pt idx="2">
                  <c:v>58410</c:v>
                </c:pt>
              </c:numCache>
            </c:numRef>
          </c:val>
        </c:ser>
        <c:gapWidth val="150"/>
        <c:overlap val="0"/>
        <c:axId val="75314054"/>
        <c:axId val="28048666"/>
      </c:barChart>
      <c:catAx>
        <c:axId val="75314054"/>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28048666"/>
        <c:crosses val="autoZero"/>
        <c:auto val="1"/>
        <c:lblAlgn val="ctr"/>
        <c:lblOffset val="100"/>
        <c:noMultiLvlLbl val="0"/>
      </c:catAx>
      <c:valAx>
        <c:axId val="28048666"/>
        <c:scaling>
          <c:orientation val="minMax"/>
        </c:scaling>
        <c:delete val="0"/>
        <c:axPos val="l"/>
        <c:majorGridlines>
          <c:spPr>
            <a:ln w="0">
              <a:solidFill>
                <a:srgbClr val="b3b3b3"/>
              </a:solidFill>
            </a:ln>
          </c:spPr>
        </c:majorGridlines>
        <c:numFmt formatCode="\$#,##0;&quot;($&quot;#,##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7531405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Highest-utilization states, official services per 1,000 FFS</a:t>
            </a:r>
          </a:p>
        </c:rich>
      </c:tx>
      <c:overlay val="0"/>
      <c:spPr>
        <a:noFill/>
        <a:ln w="0">
          <a:noFill/>
        </a:ln>
      </c:spPr>
    </c:title>
    <c:autoTitleDeleted val="0"/>
    <c:plotArea>
      <c:barChart>
        <c:barDir val="bar"/>
        <c:grouping val="clustered"/>
        <c:varyColors val="0"/>
        <c:ser>
          <c:idx val="0"/>
          <c:order val="0"/>
          <c:spPr>
            <a:solidFill>
              <a:srgbClr val="00294c"/>
            </a:solidFill>
            <a:ln w="25920">
              <a:solidFill>
                <a:srgbClr val="00294c"/>
              </a:solidFill>
              <a:round/>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State_Saturation!$K$6:$K$15</c:f>
              <c:strCache>
                <c:ptCount val="10"/>
                <c:pt idx="0">
                  <c:v>CT</c:v>
                </c:pt>
                <c:pt idx="1">
                  <c:v>GA</c:v>
                </c:pt>
                <c:pt idx="2">
                  <c:v>MA</c:v>
                </c:pt>
                <c:pt idx="3">
                  <c:v>WV</c:v>
                </c:pt>
                <c:pt idx="4">
                  <c:v>SC</c:v>
                </c:pt>
                <c:pt idx="5">
                  <c:v>NE</c:v>
                </c:pt>
                <c:pt idx="6">
                  <c:v>NJ</c:v>
                </c:pt>
                <c:pt idx="7">
                  <c:v>RI</c:v>
                </c:pt>
                <c:pt idx="8">
                  <c:v>GU</c:v>
                </c:pt>
                <c:pt idx="9">
                  <c:v>AL</c:v>
                </c:pt>
              </c:strCache>
            </c:strRef>
          </c:cat>
          <c:val>
            <c:numRef>
              <c:f>State_Saturation!$L$5:$L$15</c:f>
              <c:numCache>
                <c:formatCode>#,##0.0;\(#,##0.0\);\-</c:formatCode>
                <c:ptCount val="11"/>
                <c:pt idx="1">
                  <c:v>585.627690691091</c:v>
                </c:pt>
                <c:pt idx="2">
                  <c:v>573.22347259008</c:v>
                </c:pt>
                <c:pt idx="3">
                  <c:v>538.17672142802</c:v>
                </c:pt>
                <c:pt idx="4">
                  <c:v>519.225736035238</c:v>
                </c:pt>
                <c:pt idx="5">
                  <c:v>503.89626655744</c:v>
                </c:pt>
                <c:pt idx="6">
                  <c:v>472.228203333872</c:v>
                </c:pt>
                <c:pt idx="7">
                  <c:v>469.680603397217</c:v>
                </c:pt>
                <c:pt idx="8">
                  <c:v>454.621003954159</c:v>
                </c:pt>
                <c:pt idx="9">
                  <c:v>441.216216216216</c:v>
                </c:pt>
                <c:pt idx="10">
                  <c:v>424.521638977323</c:v>
                </c:pt>
              </c:numCache>
            </c:numRef>
          </c:val>
        </c:ser>
        <c:gapWidth val="150"/>
        <c:overlap val="0"/>
        <c:axId val="93760517"/>
        <c:axId val="7274209"/>
      </c:barChart>
      <c:catAx>
        <c:axId val="93760517"/>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7274209"/>
        <c:crosses val="autoZero"/>
        <c:auto val="1"/>
        <c:lblAlgn val="ctr"/>
        <c:lblOffset val="100"/>
        <c:noMultiLvlLbl val="0"/>
      </c:catAx>
      <c:valAx>
        <c:axId val="7274209"/>
        <c:scaling>
          <c:orientation val="minMax"/>
        </c:scaling>
        <c:delete val="0"/>
        <c:axPos val="l"/>
        <c:majorGridlines>
          <c:spPr>
            <a:ln w="0">
              <a:solidFill>
                <a:srgbClr val="b3b3b3"/>
              </a:solidFill>
            </a:ln>
          </c:spPr>
        </c:majorGridlines>
        <c:numFmt formatCode="#,##0.0;\(#,##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9376051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Largest dark markets: MA and other share of beneficiaries</a:t>
            </a:r>
          </a:p>
        </c:rich>
      </c:tx>
      <c:overlay val="0"/>
      <c:spPr>
        <a:noFill/>
        <a:ln w="0">
          <a:noFill/>
        </a:ln>
      </c:spPr>
    </c:title>
    <c:autoTitleDeleted val="0"/>
    <c:plotArea>
      <c:barChart>
        <c:barDir val="bar"/>
        <c:grouping val="clustered"/>
        <c:varyColors val="0"/>
        <c:ser>
          <c:idx val="0"/>
          <c:order val="0"/>
          <c:spPr>
            <a:solidFill>
              <a:srgbClr val="00294c"/>
            </a:solidFill>
            <a:ln w="25920">
              <a:solidFill>
                <a:srgbClr val="00294c"/>
              </a:solidFill>
              <a:round/>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State_Saturation!$Q$6:$Q$15</c:f>
              <c:strCache>
                <c:ptCount val="10"/>
                <c:pt idx="0">
                  <c:v>PR</c:v>
                </c:pt>
                <c:pt idx="1">
                  <c:v>MI</c:v>
                </c:pt>
                <c:pt idx="2">
                  <c:v>AL</c:v>
                </c:pt>
                <c:pt idx="3">
                  <c:v>MN</c:v>
                </c:pt>
                <c:pt idx="4">
                  <c:v>RI</c:v>
                </c:pt>
                <c:pt idx="5">
                  <c:v>ME</c:v>
                </c:pt>
                <c:pt idx="6">
                  <c:v>WI</c:v>
                </c:pt>
                <c:pt idx="7">
                  <c:v>CT</c:v>
                </c:pt>
                <c:pt idx="8">
                  <c:v>FL</c:v>
                </c:pt>
                <c:pt idx="9">
                  <c:v>LA</c:v>
                </c:pt>
              </c:strCache>
            </c:strRef>
          </c:cat>
          <c:val>
            <c:numRef>
              <c:f>State_Saturation!$R$5:$R$15</c:f>
              <c:numCache>
                <c:formatCode>0.0%</c:formatCode>
                <c:ptCount val="11"/>
                <c:pt idx="1">
                  <c:v>0.853567602369636</c:v>
                </c:pt>
                <c:pt idx="2">
                  <c:v>0.615385366975879</c:v>
                </c:pt>
                <c:pt idx="3">
                  <c:v>0.594110694482442</c:v>
                </c:pt>
                <c:pt idx="4">
                  <c:v>0.59381518501472</c:v>
                </c:pt>
                <c:pt idx="5">
                  <c:v>0.590909651354428</c:v>
                </c:pt>
                <c:pt idx="6">
                  <c:v>0.573275736876431</c:v>
                </c:pt>
                <c:pt idx="7">
                  <c:v>0.569114530740574</c:v>
                </c:pt>
                <c:pt idx="8">
                  <c:v>0.56236100703222</c:v>
                </c:pt>
                <c:pt idx="9">
                  <c:v>0.561425920128099</c:v>
                </c:pt>
                <c:pt idx="10">
                  <c:v>0.558000617356225</c:v>
                </c:pt>
              </c:numCache>
            </c:numRef>
          </c:val>
        </c:ser>
        <c:gapWidth val="150"/>
        <c:overlap val="0"/>
        <c:axId val="35887729"/>
        <c:axId val="88781346"/>
      </c:barChart>
      <c:catAx>
        <c:axId val="35887729"/>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88781346"/>
        <c:crosses val="autoZero"/>
        <c:auto val="1"/>
        <c:lblAlgn val="ctr"/>
        <c:lblOffset val="100"/>
        <c:noMultiLvlLbl val="0"/>
      </c:catAx>
      <c:valAx>
        <c:axId val="88781346"/>
        <c:scaling>
          <c:orientation val="minMax"/>
        </c:scaling>
        <c:delete val="0"/>
        <c:axPos val="l"/>
        <c:majorGridlines>
          <c:spPr>
            <a:ln w="0">
              <a:solidFill>
                <a:srgbClr val="b3b3b3"/>
              </a:solidFill>
            </a:ln>
          </c:spPr>
        </c:majorGridlines>
        <c:numFmt formatCode="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3588772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Thinnest supply: billing organizations per 100,000 FFS</a:t>
            </a:r>
          </a:p>
        </c:rich>
      </c:tx>
      <c:overlay val="0"/>
      <c:spPr>
        <a:noFill/>
        <a:ln w="0">
          <a:noFill/>
        </a:ln>
      </c:spPr>
    </c:title>
    <c:autoTitleDeleted val="0"/>
    <c:plotArea>
      <c:barChart>
        <c:barDir val="bar"/>
        <c:grouping val="clustered"/>
        <c:varyColors val="0"/>
        <c:ser>
          <c:idx val="0"/>
          <c:order val="0"/>
          <c:spPr>
            <a:solidFill>
              <a:srgbClr val="2e7d6b"/>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State_Saturation!$Q$20:$Q$29</c:f>
              <c:strCache>
                <c:ptCount val="10"/>
                <c:pt idx="0">
                  <c:v>HI</c:v>
                </c:pt>
                <c:pt idx="1">
                  <c:v>DC</c:v>
                </c:pt>
                <c:pt idx="2">
                  <c:v>MS</c:v>
                </c:pt>
                <c:pt idx="3">
                  <c:v>FL</c:v>
                </c:pt>
                <c:pt idx="4">
                  <c:v>CA</c:v>
                </c:pt>
                <c:pt idx="5">
                  <c:v>LA</c:v>
                </c:pt>
                <c:pt idx="6">
                  <c:v>MD</c:v>
                </c:pt>
                <c:pt idx="7">
                  <c:v>VI</c:v>
                </c:pt>
                <c:pt idx="8">
                  <c:v>NV</c:v>
                </c:pt>
                <c:pt idx="9">
                  <c:v>AZ</c:v>
                </c:pt>
              </c:strCache>
            </c:strRef>
          </c:cat>
          <c:val>
            <c:numRef>
              <c:f>State_Saturation!$R$20:$R$29</c:f>
              <c:numCache>
                <c:formatCode>0.0</c:formatCode>
                <c:ptCount val="10"/>
                <c:pt idx="0">
                  <c:v>2.95388978052599</c:v>
                </c:pt>
                <c:pt idx="1">
                  <c:v>6.20912327179402</c:v>
                </c:pt>
                <c:pt idx="2">
                  <c:v>8.29811755666539</c:v>
                </c:pt>
                <c:pt idx="3">
                  <c:v>9.18768349265612</c:v>
                </c:pt>
                <c:pt idx="4">
                  <c:v>9.29107258000078</c:v>
                </c:pt>
                <c:pt idx="5">
                  <c:v>10.3572086171976</c:v>
                </c:pt>
                <c:pt idx="6">
                  <c:v>14.1943644157122</c:v>
                </c:pt>
                <c:pt idx="7">
                  <c:v>15.9146972228853</c:v>
                </c:pt>
                <c:pt idx="8">
                  <c:v>16.5206635376248</c:v>
                </c:pt>
                <c:pt idx="9">
                  <c:v>16.7493127144999</c:v>
                </c:pt>
              </c:numCache>
            </c:numRef>
          </c:val>
        </c:ser>
        <c:gapWidth val="150"/>
        <c:overlap val="0"/>
        <c:axId val="95960798"/>
        <c:axId val="1712601"/>
      </c:barChart>
      <c:catAx>
        <c:axId val="95960798"/>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1712601"/>
        <c:crosses val="autoZero"/>
        <c:auto val="1"/>
        <c:lblAlgn val="ctr"/>
        <c:lblOffset val="100"/>
        <c:noMultiLvlLbl val="0"/>
      </c:catAx>
      <c:valAx>
        <c:axId val="1712601"/>
        <c:scaling>
          <c:orientation val="minMax"/>
        </c:scaling>
        <c:delete val="0"/>
        <c:axPos val="l"/>
        <c:majorGridlines>
          <c:spPr>
            <a:ln w="0">
              <a:solidFill>
                <a:srgbClr val="b3b3b3"/>
              </a:solidFill>
            </a:ln>
          </c:spPr>
        </c:majorGridlines>
        <c:numFmt formatCode="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9596079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Approved Medicare ground services, top metro markets, 2024 (floors)</a:t>
            </a:r>
          </a:p>
        </c:rich>
      </c:tx>
      <c:overlay val="0"/>
      <c:spPr>
        <a:noFill/>
        <a:ln w="0">
          <a:noFill/>
        </a:ln>
      </c:spPr>
    </c:title>
    <c:autoTitleDeleted val="0"/>
    <c:plotArea>
      <c:barChart>
        <c:barDir val="bar"/>
        <c:grouping val="clustered"/>
        <c:varyColors val="0"/>
        <c:ser>
          <c:idx val="0"/>
          <c:order val="0"/>
          <c:tx>
            <c:strRef>
              <c:f>MSA_Landscape!C4</c:f>
              <c:strCache>
                <c:ptCount val="1"/>
                <c:pt idx="0">
                  <c:v>Approved ground services 2024 (floor)</c:v>
                </c:pt>
              </c:strCache>
            </c:strRef>
          </c:tx>
          <c:spPr>
            <a:solidFill>
              <a:srgbClr val="00294c"/>
            </a:solidFill>
            <a:ln w="25920">
              <a:solidFill>
                <a:srgbClr val="00294c"/>
              </a:solidFill>
              <a:round/>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MSA_Landscape!$B$5:$B$14</c:f>
              <c:strCache>
                <c:ptCount val="10"/>
                <c:pt idx="0">
                  <c:v>New York-Newark-Jersey City</c:v>
                </c:pt>
                <c:pt idx="1">
                  <c:v>Chicago-Naperville-Elgin</c:v>
                </c:pt>
                <c:pt idx="2">
                  <c:v>Lafayette LA</c:v>
                </c:pt>
                <c:pt idx="3">
                  <c:v>Los Angeles-Long Beach-Anaheim</c:v>
                </c:pt>
                <c:pt idx="4">
                  <c:v>Miami-Fort Lauderdale-West Palm Beach</c:v>
                </c:pt>
                <c:pt idx="5">
                  <c:v>Houston-Pasadena-The Woodlands</c:v>
                </c:pt>
                <c:pt idx="6">
                  <c:v>San Diego-Chula Vista-Carlsbad</c:v>
                </c:pt>
                <c:pt idx="7">
                  <c:v>Corpus Christi</c:v>
                </c:pt>
                <c:pt idx="8">
                  <c:v>Jacksonville FL</c:v>
                </c:pt>
                <c:pt idx="9">
                  <c:v>Knoxville</c:v>
                </c:pt>
              </c:strCache>
            </c:strRef>
          </c:cat>
          <c:val>
            <c:numRef>
              <c:f>MSA_Landscape!$C$5:$C$14</c:f>
              <c:numCache>
                <c:formatCode>#,##0;\(#,##0\);\-</c:formatCode>
                <c:ptCount val="10"/>
                <c:pt idx="0">
                  <c:v>218952</c:v>
                </c:pt>
                <c:pt idx="1">
                  <c:v>89716</c:v>
                </c:pt>
                <c:pt idx="2">
                  <c:v>88755</c:v>
                </c:pt>
                <c:pt idx="3">
                  <c:v>75340</c:v>
                </c:pt>
                <c:pt idx="4">
                  <c:v>70594</c:v>
                </c:pt>
                <c:pt idx="5">
                  <c:v>69539</c:v>
                </c:pt>
                <c:pt idx="6">
                  <c:v>51654</c:v>
                </c:pt>
                <c:pt idx="7">
                  <c:v>43055</c:v>
                </c:pt>
                <c:pt idx="8">
                  <c:v>41580</c:v>
                </c:pt>
                <c:pt idx="9">
                  <c:v>36937</c:v>
                </c:pt>
              </c:numCache>
            </c:numRef>
          </c:val>
        </c:ser>
        <c:gapWidth val="150"/>
        <c:overlap val="0"/>
        <c:axId val="21978832"/>
        <c:axId val="26224422"/>
      </c:barChart>
      <c:catAx>
        <c:axId val="21978832"/>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26224422"/>
        <c:crosses val="autoZero"/>
        <c:auto val="1"/>
        <c:lblAlgn val="ctr"/>
        <c:lblOffset val="100"/>
        <c:noMultiLvlLbl val="0"/>
      </c:catAx>
      <c:valAx>
        <c:axId val="26224422"/>
        <c:scaling>
          <c:orientation val="minMax"/>
        </c:scaling>
        <c:delete val="0"/>
        <c:axPos val="l"/>
        <c:majorGridlines>
          <c:spPr>
            <a:ln w="0">
              <a:solidFill>
                <a:srgbClr val="b3b3b3"/>
              </a:solidFill>
            </a:ln>
          </c:spPr>
        </c:majorGridlines>
        <c:numFmt formatCode="#,##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2197883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Top-3 local share, top metro markets (floors)</a:t>
            </a:r>
          </a:p>
        </c:rich>
      </c:tx>
      <c:overlay val="0"/>
      <c:spPr>
        <a:noFill/>
        <a:ln w="0">
          <a:noFill/>
        </a:ln>
      </c:spPr>
    </c:title>
    <c:autoTitleDeleted val="0"/>
    <c:plotArea>
      <c:barChart>
        <c:barDir val="bar"/>
        <c:grouping val="clustered"/>
        <c:varyColors val="0"/>
        <c:ser>
          <c:idx val="0"/>
          <c:order val="0"/>
          <c:tx>
            <c:strRef>
              <c:f>MSA_Landscape!E4</c:f>
              <c:strCache>
                <c:ptCount val="1"/>
                <c:pt idx="0">
                  <c:v>Top-3 NPI share within metro</c:v>
                </c:pt>
              </c:strCache>
            </c:strRef>
          </c:tx>
          <c:spPr>
            <a:solidFill>
              <a:srgbClr val="00294c"/>
            </a:solidFill>
            <a:ln w="25920">
              <a:solidFill>
                <a:srgbClr val="00294c"/>
              </a:solidFill>
              <a:round/>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MSA_Landscape!$B$5:$B$14</c:f>
              <c:strCache>
                <c:ptCount val="10"/>
                <c:pt idx="0">
                  <c:v>New York-Newark-Jersey City</c:v>
                </c:pt>
                <c:pt idx="1">
                  <c:v>Chicago-Naperville-Elgin</c:v>
                </c:pt>
                <c:pt idx="2">
                  <c:v>Lafayette LA</c:v>
                </c:pt>
                <c:pt idx="3">
                  <c:v>Los Angeles-Long Beach-Anaheim</c:v>
                </c:pt>
                <c:pt idx="4">
                  <c:v>Miami-Fort Lauderdale-West Palm Beach</c:v>
                </c:pt>
                <c:pt idx="5">
                  <c:v>Houston-Pasadena-The Woodlands</c:v>
                </c:pt>
                <c:pt idx="6">
                  <c:v>San Diego-Chula Vista-Carlsbad</c:v>
                </c:pt>
                <c:pt idx="7">
                  <c:v>Corpus Christi</c:v>
                </c:pt>
                <c:pt idx="8">
                  <c:v>Jacksonville FL</c:v>
                </c:pt>
                <c:pt idx="9">
                  <c:v>Knoxville</c:v>
                </c:pt>
              </c:strCache>
            </c:strRef>
          </c:cat>
          <c:val>
            <c:numRef>
              <c:f>MSA_Landscape!$E$5:$E$14</c:f>
              <c:numCache>
                <c:formatCode>0.0%;\(0.0%\);\-</c:formatCode>
                <c:ptCount val="10"/>
                <c:pt idx="0">
                  <c:v>0.683</c:v>
                </c:pt>
                <c:pt idx="1">
                  <c:v>1</c:v>
                </c:pt>
                <c:pt idx="2">
                  <c:v>1</c:v>
                </c:pt>
                <c:pt idx="3">
                  <c:v>0.771</c:v>
                </c:pt>
                <c:pt idx="4">
                  <c:v>0.744</c:v>
                </c:pt>
                <c:pt idx="5">
                  <c:v>0.441</c:v>
                </c:pt>
                <c:pt idx="6">
                  <c:v>0.899</c:v>
                </c:pt>
                <c:pt idx="7">
                  <c:v>0.937</c:v>
                </c:pt>
                <c:pt idx="8">
                  <c:v>0.859</c:v>
                </c:pt>
                <c:pt idx="9">
                  <c:v>1</c:v>
                </c:pt>
              </c:numCache>
            </c:numRef>
          </c:val>
        </c:ser>
        <c:gapWidth val="150"/>
        <c:overlap val="0"/>
        <c:axId val="17072213"/>
        <c:axId val="7878366"/>
      </c:barChart>
      <c:catAx>
        <c:axId val="17072213"/>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7878366"/>
        <c:crosses val="autoZero"/>
        <c:auto val="1"/>
        <c:lblAlgn val="ctr"/>
        <c:lblOffset val="100"/>
        <c:noMultiLvlLbl val="0"/>
      </c:catAx>
      <c:valAx>
        <c:axId val="7878366"/>
        <c:scaling>
          <c:orientation val="minMax"/>
        </c:scaling>
        <c:delete val="0"/>
        <c:axPos val="l"/>
        <c:majorGridlines>
          <c:spPr>
            <a:ln w="0">
              <a:solidFill>
                <a:srgbClr val="b3b3b3"/>
              </a:solidFill>
            </a:ln>
          </c:spPr>
        </c:majorGridlines>
        <c:numFmt formatCode="0.0%;\(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1707221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Share of Medicare beneficiaries outside measurable FFS claims</a:t>
            </a:r>
          </a:p>
        </c:rich>
      </c:tx>
      <c:overlay val="0"/>
      <c:spPr>
        <a:noFill/>
        <a:ln w="0">
          <a:noFill/>
        </a:ln>
      </c:spPr>
    </c:title>
    <c:autoTitleDeleted val="0"/>
    <c:plotArea>
      <c:lineChart>
        <c:grouping val="standard"/>
        <c:varyColors val="0"/>
        <c:ser>
          <c:idx val="0"/>
          <c:order val="0"/>
          <c:spPr>
            <a:solidFill>
              <a:srgbClr val="00294c"/>
            </a:solidFill>
            <a:ln w="25920">
              <a:solidFill>
                <a:srgbClr val="00294c"/>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Imbalance_Ledger!$A$28:$A$40</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Imbalance_Ledger!$B$28:$B$40</c:f>
              <c:numCache>
                <c:formatCode>0.0%;\(0.0%\);\-</c:formatCode>
                <c:ptCount val="13"/>
                <c:pt idx="0">
                  <c:v>0.373743990514263</c:v>
                </c:pt>
                <c:pt idx="1">
                  <c:v>0.391329281581566</c:v>
                </c:pt>
                <c:pt idx="2">
                  <c:v>0.405916787880441</c:v>
                </c:pt>
                <c:pt idx="3">
                  <c:v>0.413962682518787</c:v>
                </c:pt>
                <c:pt idx="4">
                  <c:v>0.431346807815088</c:v>
                </c:pt>
                <c:pt idx="5">
                  <c:v>0.449033570213544</c:v>
                </c:pt>
                <c:pt idx="6">
                  <c:v>0.467467302803226</c:v>
                </c:pt>
                <c:pt idx="7">
                  <c:v>0.491822869389974</c:v>
                </c:pt>
                <c:pt idx="8">
                  <c:v>0.522051109531737</c:v>
                </c:pt>
                <c:pt idx="9">
                  <c:v>0.549230339788548</c:v>
                </c:pt>
                <c:pt idx="10">
                  <c:v>0.574267512089071</c:v>
                </c:pt>
                <c:pt idx="11">
                  <c:v>0.593007371294138</c:v>
                </c:pt>
                <c:pt idx="12">
                  <c:v>0.597981917113934</c:v>
                </c:pt>
              </c:numCache>
            </c:numRef>
          </c:val>
          <c:smooth val="1"/>
        </c:ser>
        <c:hiLowLines>
          <c:spPr>
            <a:ln w="0">
              <a:noFill/>
            </a:ln>
          </c:spPr>
        </c:hiLowLines>
        <c:marker val="0"/>
        <c:axId val="50313876"/>
        <c:axId val="154354"/>
      </c:lineChart>
      <c:catAx>
        <c:axId val="50313876"/>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154354"/>
        <c:crosses val="autoZero"/>
        <c:auto val="1"/>
        <c:lblAlgn val="ctr"/>
        <c:lblOffset val="100"/>
        <c:noMultiLvlLbl val="0"/>
      </c:catAx>
      <c:valAx>
        <c:axId val="154354"/>
        <c:scaling>
          <c:orientation val="minMax"/>
        </c:scaling>
        <c:delete val="0"/>
        <c:axPos val="l"/>
        <c:majorGridlines>
          <c:spPr>
            <a:ln w="0">
              <a:solidFill>
                <a:srgbClr val="b3b3b3"/>
              </a:solidFill>
            </a:ln>
          </c:spPr>
        </c:majorGridlines>
        <c:numFmt formatCode="0.0%;\(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5031387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9" Type="http://schemas.openxmlformats.org/officeDocument/2006/relationships/chart" Target="../charts/chart9.xml"/><Relationship Id="rId10" Type="http://schemas.openxmlformats.org/officeDocument/2006/relationships/chart" Target="../charts/chart10.xml"/><Relationship Id="rId11" Type="http://schemas.openxmlformats.org/officeDocument/2006/relationships/chart" Target="../charts/chart11.xml"/><Relationship Id="rId12" Type="http://schemas.openxmlformats.org/officeDocument/2006/relationships/chart" Target="../charts/chart12.xml"/>
</Relationships>
</file>

<file path=xl/drawings/_rels/drawing3.xml.rels><?xml version="1.0" encoding="UTF-8"?>
<Relationships xmlns="http://schemas.openxmlformats.org/package/2006/relationships"><Relationship Id="rId1" Type="http://schemas.openxmlformats.org/officeDocument/2006/relationships/chart" Target="../charts/chart13.xml"/>
</Relationships>
</file>

<file path=xl/drawings/_rels/drawing4.xml.rels><?xml version="1.0" encoding="UTF-8"?>
<Relationships xmlns="http://schemas.openxmlformats.org/package/2006/relationships"><Relationship Id="rId1" Type="http://schemas.openxmlformats.org/officeDocument/2006/relationships/chart" Target="../charts/chart14.xml"/><Relationship Id="rId2" Type="http://schemas.openxmlformats.org/officeDocument/2006/relationships/chart" Target="../charts/chart15.xml"/>
</Relationships>
</file>

<file path=xl/drawings/_rels/drawing5.xml.rels><?xml version="1.0" encoding="UTF-8"?>
<Relationships xmlns="http://schemas.openxmlformats.org/package/2006/relationships"><Relationship Id="rId1" Type="http://schemas.openxmlformats.org/officeDocument/2006/relationships/chart" Target="../charts/chart16.xml"/><Relationship Id="rId2" Type="http://schemas.openxmlformats.org/officeDocument/2006/relationships/chart" Target="../charts/chart17.xml"/><Relationship Id="rId3" Type="http://schemas.openxmlformats.org/officeDocument/2006/relationships/chart" Target="../charts/chart18.xml"/>
</Relationships>
</file>

<file path=xl/drawings/_rels/drawing6.xml.rels><?xml version="1.0" encoding="UTF-8"?>
<Relationships xmlns="http://schemas.openxmlformats.org/package/2006/relationships"><Relationship Id="rId1" Type="http://schemas.openxmlformats.org/officeDocument/2006/relationships/chart" Target="../charts/chart19.xml"/>
</Relationships>
</file>

<file path=xl/drawings/_rels/drawing7.xml.rels><?xml version="1.0" encoding="UTF-8"?>
<Relationships xmlns="http://schemas.openxmlformats.org/package/2006/relationships"><Relationship Id="rId1" Type="http://schemas.openxmlformats.org/officeDocument/2006/relationships/chart" Target="../charts/chart20.xml"/>
</Relationships>
</file>

<file path=xl/drawings/_rels/drawing8.xml.rels><?xml version="1.0" encoding="UTF-8"?>
<Relationships xmlns="http://schemas.openxmlformats.org/package/2006/relationships"><Relationship Id="rId1" Type="http://schemas.openxmlformats.org/officeDocument/2006/relationships/chart" Target="../charts/chart21.xml"/><Relationship Id="rId2" Type="http://schemas.openxmlformats.org/officeDocument/2006/relationships/chart" Target="../charts/chart22.xml"/>
</Relationships>
</file>

<file path=xl/drawings/_rels/drawing9.xml.rels><?xml version="1.0" encoding="UTF-8"?>
<Relationships xmlns="http://schemas.openxmlformats.org/package/2006/relationships"><Relationship Id="rId1" Type="http://schemas.openxmlformats.org/officeDocument/2006/relationships/chart" Target="../charts/chart23.xml"/>
</Relationships>
</file>

<file path=xl/drawings/_rels/drawing10.xml.rels><?xml version="1.0" encoding="UTF-8"?>
<Relationships xmlns="http://schemas.openxmlformats.org/package/2006/relationships"><Relationship Id="rId1" Type="http://schemas.openxmlformats.org/officeDocument/2006/relationships/chart" Target="../charts/chart24.xml"/>
</Relationships>
</file>

<file path=xl/drawings/_rels/drawing11.xml.rels><?xml version="1.0" encoding="UTF-8"?>
<Relationships xmlns="http://schemas.openxmlformats.org/package/2006/relationships"><Relationship Id="rId1" Type="http://schemas.openxmlformats.org/officeDocument/2006/relationships/chart" Target="../charts/chart25.xml"/><Relationship Id="rId2" Type="http://schemas.openxmlformats.org/officeDocument/2006/relationships/chart" Target="../charts/chart26.xml"/><Relationship Id="rId3" Type="http://schemas.openxmlformats.org/officeDocument/2006/relationships/chart" Target="../charts/chart27.xml"/><Relationship Id="rId4" Type="http://schemas.openxmlformats.org/officeDocument/2006/relationships/chart" Target="../charts/chart28.xml"/><Relationship Id="rId5" Type="http://schemas.openxmlformats.org/officeDocument/2006/relationships/chart" Target="../charts/chart29.xml"/>
</Relationships>
</file>

<file path=xl/drawings/_rels/drawing12.xml.rels><?xml version="1.0" encoding="UTF-8"?>
<Relationships xmlns="http://schemas.openxmlformats.org/package/2006/relationships"><Relationship Id="rId1" Type="http://schemas.openxmlformats.org/officeDocument/2006/relationships/chart" Target="../charts/chart30.xml"/><Relationship Id="rId2" Type="http://schemas.openxmlformats.org/officeDocument/2006/relationships/chart" Target="../charts/chart31.xml"/>
</Relationships>
</file>

<file path=xl/drawings/_rels/drawing13.xml.rels><?xml version="1.0" encoding="UTF-8"?>
<Relationships xmlns="http://schemas.openxmlformats.org/package/2006/relationships"><Relationship Id="rId1" Type="http://schemas.openxmlformats.org/officeDocument/2006/relationships/chart" Target="../charts/chart32.xml"/><Relationship Id="rId2" Type="http://schemas.openxmlformats.org/officeDocument/2006/relationships/chart" Target="../charts/chart33.xml"/><Relationship Id="rId3" Type="http://schemas.openxmlformats.org/officeDocument/2006/relationships/chart" Target="../charts/chart34.xml"/>
</Relationships>
</file>

<file path=xl/drawings/_rels/drawing14.xml.rels><?xml version="1.0" encoding="UTF-8"?>
<Relationships xmlns="http://schemas.openxmlformats.org/package/2006/relationships"><Relationship Id="rId1" Type="http://schemas.openxmlformats.org/officeDocument/2006/relationships/chart" Target="../charts/chart35.xml"/><Relationship Id="rId2" Type="http://schemas.openxmlformats.org/officeDocument/2006/relationships/chart" Target="../charts/chart36.xml"/>
</Relationships>
</file>

<file path=xl/drawings/_rels/drawing15.xml.rels><?xml version="1.0" encoding="UTF-8"?>
<Relationships xmlns="http://schemas.openxmlformats.org/package/2006/relationships"><Relationship Id="rId1" Type="http://schemas.openxmlformats.org/officeDocument/2006/relationships/chart" Target="../charts/chart37.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5</xdr:row>
      <xdr:rowOff>0</xdr:rowOff>
    </xdr:from>
    <xdr:to>
      <xdr:col>8</xdr:col>
      <xdr:colOff>576360</xdr:colOff>
      <xdr:row>19</xdr:row>
      <xdr:rowOff>29880</xdr:rowOff>
    </xdr:to>
    <xdr:graphicFrame>
      <xdr:nvGraphicFramePr>
        <xdr:cNvPr id="0" name="Chart 1"/>
        <xdr:cNvGraphicFramePr/>
      </xdr:nvGraphicFramePr>
      <xdr:xfrm>
        <a:off x="211320" y="981000"/>
        <a:ext cx="4857120" cy="26971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30</xdr:row>
      <xdr:rowOff>0</xdr:rowOff>
    </xdr:from>
    <xdr:to>
      <xdr:col>8</xdr:col>
      <xdr:colOff>576360</xdr:colOff>
      <xdr:row>44</xdr:row>
      <xdr:rowOff>29880</xdr:rowOff>
    </xdr:to>
    <xdr:graphicFrame>
      <xdr:nvGraphicFramePr>
        <xdr:cNvPr id="1" name="Chart 2"/>
        <xdr:cNvGraphicFramePr/>
      </xdr:nvGraphicFramePr>
      <xdr:xfrm>
        <a:off x="211320" y="5743440"/>
        <a:ext cx="4857120" cy="26971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55</xdr:row>
      <xdr:rowOff>0</xdr:rowOff>
    </xdr:from>
    <xdr:to>
      <xdr:col>8</xdr:col>
      <xdr:colOff>576360</xdr:colOff>
      <xdr:row>69</xdr:row>
      <xdr:rowOff>30240</xdr:rowOff>
    </xdr:to>
    <xdr:graphicFrame>
      <xdr:nvGraphicFramePr>
        <xdr:cNvPr id="2" name="Chart 3"/>
        <xdr:cNvGraphicFramePr/>
      </xdr:nvGraphicFramePr>
      <xdr:xfrm>
        <a:off x="211320" y="10506240"/>
        <a:ext cx="4857120" cy="26971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80</xdr:row>
      <xdr:rowOff>0</xdr:rowOff>
    </xdr:from>
    <xdr:to>
      <xdr:col>8</xdr:col>
      <xdr:colOff>576360</xdr:colOff>
      <xdr:row>94</xdr:row>
      <xdr:rowOff>30240</xdr:rowOff>
    </xdr:to>
    <xdr:graphicFrame>
      <xdr:nvGraphicFramePr>
        <xdr:cNvPr id="3" name="Chart 4"/>
        <xdr:cNvGraphicFramePr/>
      </xdr:nvGraphicFramePr>
      <xdr:xfrm>
        <a:off x="211320" y="15268680"/>
        <a:ext cx="4857120" cy="269712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105</xdr:row>
      <xdr:rowOff>0</xdr:rowOff>
    </xdr:from>
    <xdr:to>
      <xdr:col>8</xdr:col>
      <xdr:colOff>576360</xdr:colOff>
      <xdr:row>119</xdr:row>
      <xdr:rowOff>30240</xdr:rowOff>
    </xdr:to>
    <xdr:graphicFrame>
      <xdr:nvGraphicFramePr>
        <xdr:cNvPr id="4" name="Chart 5"/>
        <xdr:cNvGraphicFramePr/>
      </xdr:nvGraphicFramePr>
      <xdr:xfrm>
        <a:off x="211320" y="20031120"/>
        <a:ext cx="4857120" cy="269712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0</xdr:colOff>
      <xdr:row>105</xdr:row>
      <xdr:rowOff>0</xdr:rowOff>
    </xdr:from>
    <xdr:to>
      <xdr:col>15</xdr:col>
      <xdr:colOff>576720</xdr:colOff>
      <xdr:row>119</xdr:row>
      <xdr:rowOff>30240</xdr:rowOff>
    </xdr:to>
    <xdr:graphicFrame>
      <xdr:nvGraphicFramePr>
        <xdr:cNvPr id="5" name="Chart 6"/>
        <xdr:cNvGraphicFramePr/>
      </xdr:nvGraphicFramePr>
      <xdr:xfrm>
        <a:off x="4492080" y="20031120"/>
        <a:ext cx="4857120" cy="269712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0</xdr:colOff>
      <xdr:row>130</xdr:row>
      <xdr:rowOff>0</xdr:rowOff>
    </xdr:from>
    <xdr:to>
      <xdr:col>8</xdr:col>
      <xdr:colOff>576360</xdr:colOff>
      <xdr:row>144</xdr:row>
      <xdr:rowOff>30240</xdr:rowOff>
    </xdr:to>
    <xdr:graphicFrame>
      <xdr:nvGraphicFramePr>
        <xdr:cNvPr id="6" name="Chart 7"/>
        <xdr:cNvGraphicFramePr/>
      </xdr:nvGraphicFramePr>
      <xdr:xfrm>
        <a:off x="211320" y="24793560"/>
        <a:ext cx="4857120" cy="269712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0</xdr:colOff>
      <xdr:row>155</xdr:row>
      <xdr:rowOff>0</xdr:rowOff>
    </xdr:from>
    <xdr:to>
      <xdr:col>8</xdr:col>
      <xdr:colOff>576360</xdr:colOff>
      <xdr:row>169</xdr:row>
      <xdr:rowOff>29880</xdr:rowOff>
    </xdr:to>
    <xdr:graphicFrame>
      <xdr:nvGraphicFramePr>
        <xdr:cNvPr id="7" name="Chart 8"/>
        <xdr:cNvGraphicFramePr/>
      </xdr:nvGraphicFramePr>
      <xdr:xfrm>
        <a:off x="211320" y="29556000"/>
        <a:ext cx="4857120" cy="269712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xdr:col>
      <xdr:colOff>0</xdr:colOff>
      <xdr:row>178</xdr:row>
      <xdr:rowOff>0</xdr:rowOff>
    </xdr:from>
    <xdr:to>
      <xdr:col>8</xdr:col>
      <xdr:colOff>576360</xdr:colOff>
      <xdr:row>193</xdr:row>
      <xdr:rowOff>19440</xdr:rowOff>
    </xdr:to>
    <xdr:graphicFrame>
      <xdr:nvGraphicFramePr>
        <xdr:cNvPr id="8" name="Chart 9"/>
        <xdr:cNvGraphicFramePr/>
      </xdr:nvGraphicFramePr>
      <xdr:xfrm>
        <a:off x="211320" y="33937560"/>
        <a:ext cx="4857120" cy="287712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0</xdr:colOff>
      <xdr:row>203</xdr:row>
      <xdr:rowOff>0</xdr:rowOff>
    </xdr:from>
    <xdr:to>
      <xdr:col>8</xdr:col>
      <xdr:colOff>576360</xdr:colOff>
      <xdr:row>217</xdr:row>
      <xdr:rowOff>29880</xdr:rowOff>
    </xdr:to>
    <xdr:graphicFrame>
      <xdr:nvGraphicFramePr>
        <xdr:cNvPr id="9" name="Chart 10"/>
        <xdr:cNvGraphicFramePr/>
      </xdr:nvGraphicFramePr>
      <xdr:xfrm>
        <a:off x="211320" y="38700000"/>
        <a:ext cx="4857120" cy="269712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xdr:col>
      <xdr:colOff>0</xdr:colOff>
      <xdr:row>228</xdr:row>
      <xdr:rowOff>0</xdr:rowOff>
    </xdr:from>
    <xdr:to>
      <xdr:col>8</xdr:col>
      <xdr:colOff>216360</xdr:colOff>
      <xdr:row>241</xdr:row>
      <xdr:rowOff>40320</xdr:rowOff>
    </xdr:to>
    <xdr:graphicFrame>
      <xdr:nvGraphicFramePr>
        <xdr:cNvPr id="10" name="Chart 11"/>
        <xdr:cNvGraphicFramePr/>
      </xdr:nvGraphicFramePr>
      <xdr:xfrm>
        <a:off x="211320" y="43462440"/>
        <a:ext cx="4497120" cy="251712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8</xdr:col>
      <xdr:colOff>0</xdr:colOff>
      <xdr:row>228</xdr:row>
      <xdr:rowOff>0</xdr:rowOff>
    </xdr:from>
    <xdr:to>
      <xdr:col>15</xdr:col>
      <xdr:colOff>216720</xdr:colOff>
      <xdr:row>241</xdr:row>
      <xdr:rowOff>40320</xdr:rowOff>
    </xdr:to>
    <xdr:graphicFrame>
      <xdr:nvGraphicFramePr>
        <xdr:cNvPr id="11" name="Chart 12"/>
        <xdr:cNvGraphicFramePr/>
      </xdr:nvGraphicFramePr>
      <xdr:xfrm>
        <a:off x="4492080" y="43462440"/>
        <a:ext cx="4497120" cy="251712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0</xdr:colOff>
      <xdr:row>3</xdr:row>
      <xdr:rowOff>0</xdr:rowOff>
    </xdr:from>
    <xdr:to>
      <xdr:col>17</xdr:col>
      <xdr:colOff>396720</xdr:colOff>
      <xdr:row>12</xdr:row>
      <xdr:rowOff>88200</xdr:rowOff>
    </xdr:to>
    <xdr:graphicFrame>
      <xdr:nvGraphicFramePr>
        <xdr:cNvPr id="12" name="Chart 1"/>
        <xdr:cNvGraphicFramePr/>
      </xdr:nvGraphicFramePr>
      <xdr:xfrm>
        <a:off x="12382560" y="1009800"/>
        <a:ext cx="4677120" cy="23835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0</xdr:colOff>
      <xdr:row>3</xdr:row>
      <xdr:rowOff>0</xdr:rowOff>
    </xdr:from>
    <xdr:to>
      <xdr:col>18</xdr:col>
      <xdr:colOff>576360</xdr:colOff>
      <xdr:row>15</xdr:row>
      <xdr:rowOff>104400</xdr:rowOff>
    </xdr:to>
    <xdr:graphicFrame>
      <xdr:nvGraphicFramePr>
        <xdr:cNvPr id="13" name="Chart 1"/>
        <xdr:cNvGraphicFramePr/>
      </xdr:nvGraphicFramePr>
      <xdr:xfrm>
        <a:off x="11418480" y="1009800"/>
        <a:ext cx="5466600" cy="2952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0</xdr:colOff>
      <xdr:row>23</xdr:row>
      <xdr:rowOff>0</xdr:rowOff>
    </xdr:from>
    <xdr:to>
      <xdr:col>18</xdr:col>
      <xdr:colOff>576360</xdr:colOff>
      <xdr:row>34</xdr:row>
      <xdr:rowOff>94680</xdr:rowOff>
    </xdr:to>
    <xdr:graphicFrame>
      <xdr:nvGraphicFramePr>
        <xdr:cNvPr id="14" name="Chart 2"/>
        <xdr:cNvGraphicFramePr/>
      </xdr:nvGraphicFramePr>
      <xdr:xfrm>
        <a:off x="11418480" y="5877000"/>
        <a:ext cx="5466600" cy="26568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4</xdr:row>
      <xdr:rowOff>0</xdr:rowOff>
    </xdr:from>
    <xdr:to>
      <xdr:col>15</xdr:col>
      <xdr:colOff>576360</xdr:colOff>
      <xdr:row>16</xdr:row>
      <xdr:rowOff>68040</xdr:rowOff>
    </xdr:to>
    <xdr:graphicFrame>
      <xdr:nvGraphicFramePr>
        <xdr:cNvPr id="15" name="Chart 1"/>
        <xdr:cNvGraphicFramePr/>
      </xdr:nvGraphicFramePr>
      <xdr:xfrm>
        <a:off x="9422280" y="1390680"/>
        <a:ext cx="4856760" cy="25920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21</xdr:row>
      <xdr:rowOff>0</xdr:rowOff>
    </xdr:from>
    <xdr:to>
      <xdr:col>15</xdr:col>
      <xdr:colOff>576360</xdr:colOff>
      <xdr:row>25</xdr:row>
      <xdr:rowOff>296640</xdr:rowOff>
    </xdr:to>
    <xdr:graphicFrame>
      <xdr:nvGraphicFramePr>
        <xdr:cNvPr id="16" name="Chart 2"/>
        <xdr:cNvGraphicFramePr/>
      </xdr:nvGraphicFramePr>
      <xdr:xfrm>
        <a:off x="9422280" y="5076720"/>
        <a:ext cx="4856760" cy="26971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0</xdr:colOff>
      <xdr:row>39</xdr:row>
      <xdr:rowOff>0</xdr:rowOff>
    </xdr:from>
    <xdr:to>
      <xdr:col>15</xdr:col>
      <xdr:colOff>576360</xdr:colOff>
      <xdr:row>44</xdr:row>
      <xdr:rowOff>792000</xdr:rowOff>
    </xdr:to>
    <xdr:graphicFrame>
      <xdr:nvGraphicFramePr>
        <xdr:cNvPr id="17" name="Chart 3"/>
        <xdr:cNvGraphicFramePr/>
      </xdr:nvGraphicFramePr>
      <xdr:xfrm>
        <a:off x="9422280" y="13773240"/>
        <a:ext cx="4856760" cy="26967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0</xdr:colOff>
      <xdr:row>3</xdr:row>
      <xdr:rowOff>0</xdr:rowOff>
    </xdr:from>
    <xdr:to>
      <xdr:col>21</xdr:col>
      <xdr:colOff>505080</xdr:colOff>
      <xdr:row>13</xdr:row>
      <xdr:rowOff>210240</xdr:rowOff>
    </xdr:to>
    <xdr:graphicFrame>
      <xdr:nvGraphicFramePr>
        <xdr:cNvPr id="18" name="Chart 1"/>
        <xdr:cNvGraphicFramePr/>
      </xdr:nvGraphicFramePr>
      <xdr:xfrm>
        <a:off x="12946320" y="1009800"/>
        <a:ext cx="5397120" cy="2419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4</xdr:row>
      <xdr:rowOff>0</xdr:rowOff>
    </xdr:from>
    <xdr:to>
      <xdr:col>13</xdr:col>
      <xdr:colOff>507960</xdr:colOff>
      <xdr:row>16</xdr:row>
      <xdr:rowOff>68040</xdr:rowOff>
    </xdr:to>
    <xdr:graphicFrame>
      <xdr:nvGraphicFramePr>
        <xdr:cNvPr id="19" name="Chart 1"/>
        <xdr:cNvGraphicFramePr/>
      </xdr:nvGraphicFramePr>
      <xdr:xfrm>
        <a:off x="8035200" y="1390680"/>
        <a:ext cx="4857120" cy="25920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13</xdr:row>
      <xdr:rowOff>0</xdr:rowOff>
    </xdr:from>
    <xdr:to>
      <xdr:col>2</xdr:col>
      <xdr:colOff>714960</xdr:colOff>
      <xdr:row>15</xdr:row>
      <xdr:rowOff>335160</xdr:rowOff>
    </xdr:to>
    <xdr:graphicFrame>
      <xdr:nvGraphicFramePr>
        <xdr:cNvPr id="20" name="Chart 1"/>
        <xdr:cNvGraphicFramePr/>
      </xdr:nvGraphicFramePr>
      <xdr:xfrm>
        <a:off x="2114640" y="9163080"/>
        <a:ext cx="3957120" cy="26974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13</xdr:row>
      <xdr:rowOff>0</xdr:rowOff>
    </xdr:from>
    <xdr:to>
      <xdr:col>8</xdr:col>
      <xdr:colOff>659520</xdr:colOff>
      <xdr:row>15</xdr:row>
      <xdr:rowOff>515160</xdr:rowOff>
    </xdr:to>
    <xdr:graphicFrame>
      <xdr:nvGraphicFramePr>
        <xdr:cNvPr id="21" name="Chart 2"/>
        <xdr:cNvGraphicFramePr/>
      </xdr:nvGraphicFramePr>
      <xdr:xfrm>
        <a:off x="9374400" y="9163080"/>
        <a:ext cx="4677120" cy="28774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14</xdr:row>
      <xdr:rowOff>0</xdr:rowOff>
    </xdr:from>
    <xdr:to>
      <xdr:col>4</xdr:col>
      <xdr:colOff>714960</xdr:colOff>
      <xdr:row>23</xdr:row>
      <xdr:rowOff>125640</xdr:rowOff>
    </xdr:to>
    <xdr:graphicFrame>
      <xdr:nvGraphicFramePr>
        <xdr:cNvPr id="22" name="Chart 1"/>
        <xdr:cNvGraphicFramePr/>
      </xdr:nvGraphicFramePr>
      <xdr:xfrm>
        <a:off x="8458200" y="3286080"/>
        <a:ext cx="3957120" cy="26974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20</xdr:row>
      <xdr:rowOff>0</xdr:rowOff>
    </xdr:from>
    <xdr:to>
      <xdr:col>6</xdr:col>
      <xdr:colOff>440280</xdr:colOff>
      <xdr:row>21</xdr:row>
      <xdr:rowOff>1201680</xdr:rowOff>
    </xdr:to>
    <xdr:graphicFrame>
      <xdr:nvGraphicFramePr>
        <xdr:cNvPr id="23" name="Chart 1"/>
        <xdr:cNvGraphicFramePr/>
      </xdr:nvGraphicFramePr>
      <xdr:xfrm>
        <a:off x="6343560" y="8505720"/>
        <a:ext cx="4317120" cy="26971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3</xdr:row>
      <xdr:rowOff>0</xdr:rowOff>
    </xdr:from>
    <xdr:to>
      <xdr:col>14</xdr:col>
      <xdr:colOff>576720</xdr:colOff>
      <xdr:row>8</xdr:row>
      <xdr:rowOff>258840</xdr:rowOff>
    </xdr:to>
    <xdr:graphicFrame>
      <xdr:nvGraphicFramePr>
        <xdr:cNvPr id="24" name="Chart 1"/>
        <xdr:cNvGraphicFramePr/>
      </xdr:nvGraphicFramePr>
      <xdr:xfrm>
        <a:off x="7542000" y="1247760"/>
        <a:ext cx="5162040" cy="26971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19</xdr:row>
      <xdr:rowOff>0</xdr:rowOff>
    </xdr:from>
    <xdr:to>
      <xdr:col>14</xdr:col>
      <xdr:colOff>576720</xdr:colOff>
      <xdr:row>33</xdr:row>
      <xdr:rowOff>30240</xdr:rowOff>
    </xdr:to>
    <xdr:graphicFrame>
      <xdr:nvGraphicFramePr>
        <xdr:cNvPr id="25" name="Chart 2"/>
        <xdr:cNvGraphicFramePr/>
      </xdr:nvGraphicFramePr>
      <xdr:xfrm>
        <a:off x="7542000" y="8305920"/>
        <a:ext cx="5162040" cy="26971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0</xdr:colOff>
      <xdr:row>35</xdr:row>
      <xdr:rowOff>0</xdr:rowOff>
    </xdr:from>
    <xdr:to>
      <xdr:col>14</xdr:col>
      <xdr:colOff>576720</xdr:colOff>
      <xdr:row>49</xdr:row>
      <xdr:rowOff>30240</xdr:rowOff>
    </xdr:to>
    <xdr:graphicFrame>
      <xdr:nvGraphicFramePr>
        <xdr:cNvPr id="26" name="Chart 3"/>
        <xdr:cNvGraphicFramePr/>
      </xdr:nvGraphicFramePr>
      <xdr:xfrm>
        <a:off x="7542000" y="11353680"/>
        <a:ext cx="5162040" cy="26974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0</xdr:colOff>
      <xdr:row>3</xdr:row>
      <xdr:rowOff>0</xdr:rowOff>
    </xdr:from>
    <xdr:to>
      <xdr:col>22</xdr:col>
      <xdr:colOff>576720</xdr:colOff>
      <xdr:row>8</xdr:row>
      <xdr:rowOff>258840</xdr:rowOff>
    </xdr:to>
    <xdr:graphicFrame>
      <xdr:nvGraphicFramePr>
        <xdr:cNvPr id="27" name="Chart 4"/>
        <xdr:cNvGraphicFramePr/>
      </xdr:nvGraphicFramePr>
      <xdr:xfrm>
        <a:off x="12738600" y="1247760"/>
        <a:ext cx="4857480" cy="269712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0</xdr:colOff>
      <xdr:row>19</xdr:row>
      <xdr:rowOff>0</xdr:rowOff>
    </xdr:from>
    <xdr:to>
      <xdr:col>22</xdr:col>
      <xdr:colOff>576720</xdr:colOff>
      <xdr:row>33</xdr:row>
      <xdr:rowOff>30240</xdr:rowOff>
    </xdr:to>
    <xdr:graphicFrame>
      <xdr:nvGraphicFramePr>
        <xdr:cNvPr id="28" name="Chart 5"/>
        <xdr:cNvGraphicFramePr/>
      </xdr:nvGraphicFramePr>
      <xdr:xfrm>
        <a:off x="12738600" y="8305920"/>
        <a:ext cx="4857480" cy="269712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3</xdr:row>
      <xdr:rowOff>0</xdr:rowOff>
    </xdr:from>
    <xdr:to>
      <xdr:col>14</xdr:col>
      <xdr:colOff>216720</xdr:colOff>
      <xdr:row>10</xdr:row>
      <xdr:rowOff>640800</xdr:rowOff>
    </xdr:to>
    <xdr:graphicFrame>
      <xdr:nvGraphicFramePr>
        <xdr:cNvPr id="29" name="Chart 1"/>
        <xdr:cNvGraphicFramePr/>
      </xdr:nvGraphicFramePr>
      <xdr:xfrm>
        <a:off x="8294400" y="1171440"/>
        <a:ext cx="4497120" cy="2221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21</xdr:row>
      <xdr:rowOff>0</xdr:rowOff>
    </xdr:from>
    <xdr:to>
      <xdr:col>14</xdr:col>
      <xdr:colOff>216720</xdr:colOff>
      <xdr:row>28</xdr:row>
      <xdr:rowOff>59760</xdr:rowOff>
    </xdr:to>
    <xdr:graphicFrame>
      <xdr:nvGraphicFramePr>
        <xdr:cNvPr id="30" name="Chart 2"/>
        <xdr:cNvGraphicFramePr/>
      </xdr:nvGraphicFramePr>
      <xdr:xfrm>
        <a:off x="8294400" y="9801360"/>
        <a:ext cx="4497120" cy="24505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19</xdr:row>
      <xdr:rowOff>0</xdr:rowOff>
    </xdr:from>
    <xdr:to>
      <xdr:col>13</xdr:col>
      <xdr:colOff>651600</xdr:colOff>
      <xdr:row>20</xdr:row>
      <xdr:rowOff>1219680</xdr:rowOff>
    </xdr:to>
    <xdr:graphicFrame>
      <xdr:nvGraphicFramePr>
        <xdr:cNvPr id="31" name="Chart 1"/>
        <xdr:cNvGraphicFramePr/>
      </xdr:nvGraphicFramePr>
      <xdr:xfrm>
        <a:off x="9021960" y="24003000"/>
        <a:ext cx="4317120" cy="28771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0</xdr:colOff>
      <xdr:row>17</xdr:row>
      <xdr:rowOff>0</xdr:rowOff>
    </xdr:from>
    <xdr:to>
      <xdr:col>22</xdr:col>
      <xdr:colOff>36360</xdr:colOff>
      <xdr:row>19</xdr:row>
      <xdr:rowOff>790920</xdr:rowOff>
    </xdr:to>
    <xdr:graphicFrame>
      <xdr:nvGraphicFramePr>
        <xdr:cNvPr id="32" name="Chart 2"/>
        <xdr:cNvGraphicFramePr/>
      </xdr:nvGraphicFramePr>
      <xdr:xfrm>
        <a:off x="14214960" y="21917160"/>
        <a:ext cx="4317120" cy="28767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0</xdr:colOff>
      <xdr:row>31</xdr:row>
      <xdr:rowOff>0</xdr:rowOff>
    </xdr:from>
    <xdr:to>
      <xdr:col>13</xdr:col>
      <xdr:colOff>651960</xdr:colOff>
      <xdr:row>32</xdr:row>
      <xdr:rowOff>1220040</xdr:rowOff>
    </xdr:to>
    <xdr:graphicFrame>
      <xdr:nvGraphicFramePr>
        <xdr:cNvPr id="33" name="Chart 3"/>
        <xdr:cNvGraphicFramePr/>
      </xdr:nvGraphicFramePr>
      <xdr:xfrm>
        <a:off x="9021960" y="43891200"/>
        <a:ext cx="4317480" cy="28774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4.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3</xdr:row>
      <xdr:rowOff>0</xdr:rowOff>
    </xdr:from>
    <xdr:to>
      <xdr:col>16</xdr:col>
      <xdr:colOff>145080</xdr:colOff>
      <xdr:row>15</xdr:row>
      <xdr:rowOff>47160</xdr:rowOff>
    </xdr:to>
    <xdr:graphicFrame>
      <xdr:nvGraphicFramePr>
        <xdr:cNvPr id="34" name="Chart 1"/>
        <xdr:cNvGraphicFramePr/>
      </xdr:nvGraphicFramePr>
      <xdr:xfrm>
        <a:off x="9844920" y="1009800"/>
        <a:ext cx="5037120" cy="29520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23</xdr:row>
      <xdr:rowOff>0</xdr:rowOff>
    </xdr:from>
    <xdr:to>
      <xdr:col>16</xdr:col>
      <xdr:colOff>145080</xdr:colOff>
      <xdr:row>34</xdr:row>
      <xdr:rowOff>37440</xdr:rowOff>
    </xdr:to>
    <xdr:graphicFrame>
      <xdr:nvGraphicFramePr>
        <xdr:cNvPr id="35" name="Chart 2"/>
        <xdr:cNvGraphicFramePr/>
      </xdr:nvGraphicFramePr>
      <xdr:xfrm>
        <a:off x="9844920" y="5591160"/>
        <a:ext cx="5037120" cy="30283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29</xdr:row>
      <xdr:rowOff>0</xdr:rowOff>
    </xdr:from>
    <xdr:to>
      <xdr:col>12</xdr:col>
      <xdr:colOff>396720</xdr:colOff>
      <xdr:row>32</xdr:row>
      <xdr:rowOff>611280</xdr:rowOff>
    </xdr:to>
    <xdr:graphicFrame>
      <xdr:nvGraphicFramePr>
        <xdr:cNvPr id="36" name="Chart 1"/>
        <xdr:cNvGraphicFramePr/>
      </xdr:nvGraphicFramePr>
      <xdr:xfrm>
        <a:off x="8599320" y="15125760"/>
        <a:ext cx="4677120" cy="26971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10.xml.rels><?xml version="1.0" encoding="UTF-8"?>
<Relationships xmlns="http://schemas.openxmlformats.org/package/2006/relationships"><Relationship Id="rId1" Type="http://schemas.openxmlformats.org/officeDocument/2006/relationships/drawing" Target="../drawings/drawing3.x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vm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2.vml"/>
</Relationships>
</file>

<file path=xl/worksheets/_rels/sheet16.xml.rels><?xml version="1.0" encoding="UTF-8"?>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3.vml"/>
</Relationships>
</file>

<file path=xl/worksheets/_rels/sheet19.xml.rels><?xml version="1.0" encoding="UTF-8"?>
<Relationships xmlns="http://schemas.openxmlformats.org/package/2006/relationships"><Relationship Id="rId1" Type="http://schemas.openxmlformats.org/officeDocument/2006/relationships/drawing" Target="../drawings/drawing4.xml"/>
</Relationships>
</file>

<file path=xl/worksheets/_rels/sheet20.xml.rels><?xml version="1.0" encoding="UTF-8"?>
<Relationships xmlns="http://schemas.openxmlformats.org/package/2006/relationships"><Relationship Id="rId1" Type="http://schemas.openxmlformats.org/officeDocument/2006/relationships/drawing" Target="../drawings/drawing5.xml"/>
</Relationships>
</file>

<file path=xl/worksheets/_rels/sheet21.xml.rels><?xml version="1.0" encoding="UTF-8"?>
<Relationships xmlns="http://schemas.openxmlformats.org/package/2006/relationships"><Relationship Id="rId1" Type="http://schemas.openxmlformats.org/officeDocument/2006/relationships/drawing" Target="../drawings/drawing6.xml"/>
</Relationships>
</file>

<file path=xl/worksheets/_rels/sheet22.xml.rels><?xml version="1.0" encoding="UTF-8"?>
<Relationships xmlns="http://schemas.openxmlformats.org/package/2006/relationships"><Relationship Id="rId1" Type="http://schemas.openxmlformats.org/officeDocument/2006/relationships/drawing" Target="../drawings/drawing7.xml"/>
</Relationships>
</file>

<file path=xl/worksheets/_rels/sheet23.xml.rels><?xml version="1.0" encoding="UTF-8"?>
<Relationships xmlns="http://schemas.openxmlformats.org/package/2006/relationships"><Relationship Id="rId1" Type="http://schemas.openxmlformats.org/officeDocument/2006/relationships/drawing" Target="../drawings/drawing8.xml"/>
</Relationships>
</file>

<file path=xl/worksheets/_rels/sheet24.xml.rels><?xml version="1.0" encoding="UTF-8"?>
<Relationships xmlns="http://schemas.openxmlformats.org/package/2006/relationships"><Relationship Id="rId1" Type="http://schemas.openxmlformats.org/officeDocument/2006/relationships/drawing" Target="../drawings/drawing9.xml"/>
</Relationships>
</file>

<file path=xl/worksheets/_rels/sheet25.xml.rels><?xml version="1.0" encoding="UTF-8"?>
<Relationships xmlns="http://schemas.openxmlformats.org/package/2006/relationships"><Relationship Id="rId1" Type="http://schemas.openxmlformats.org/officeDocument/2006/relationships/drawing" Target="../drawings/drawing10.xml"/>
</Relationships>
</file>

<file path=xl/worksheets/_rels/sheet28.xml.rels><?xml version="1.0" encoding="UTF-8"?>
<Relationships xmlns="http://schemas.openxmlformats.org/package/2006/relationships"><Relationship Id="rId1" Type="http://schemas.openxmlformats.org/officeDocument/2006/relationships/drawing" Target="../drawings/drawing11.xml"/>
</Relationships>
</file>

<file path=xl/worksheets/_rels/sheet29.xml.rels><?xml version="1.0" encoding="UTF-8"?>
<Relationships xmlns="http://schemas.openxmlformats.org/package/2006/relationships"><Relationship Id="rId1" Type="http://schemas.openxmlformats.org/officeDocument/2006/relationships/drawing" Target="../drawings/drawing12.xml"/>
</Relationships>
</file>

<file path=xl/worksheets/_rels/sheet32.xml.rels><?xml version="1.0" encoding="UTF-8"?>
<Relationships xmlns="http://schemas.openxmlformats.org/package/2006/relationships"><Relationship Id="rId1" Type="http://schemas.openxmlformats.org/officeDocument/2006/relationships/drawing" Target="../drawings/drawing13.xml"/>
</Relationships>
</file>

<file path=xl/worksheets/_rels/sheet33.xml.rels><?xml version="1.0" encoding="UTF-8"?>
<Relationships xmlns="http://schemas.openxmlformats.org/package/2006/relationships"><Relationship Id="rId1" Type="http://schemas.openxmlformats.org/officeDocument/2006/relationships/drawing" Target="../drawings/drawing14.xml"/>
</Relationships>
</file>

<file path=xl/worksheets/_rels/sheet34.xml.rels><?xml version="1.0" encoding="UTF-8"?>
<Relationships xmlns="http://schemas.openxmlformats.org/package/2006/relationships"><Relationship Id="rId1" Type="http://schemas.openxmlformats.org/officeDocument/2006/relationships/drawing" Target="../drawings/drawing15.xml"/>
</Relationships>
</file>

<file path=xl/worksheets/_rels/sheet45.xml.rels><?xml version="1.0" encoding="UTF-8"?>
<Relationships xmlns="http://schemas.openxmlformats.org/package/2006/relationships"><Relationship Id="rId1" Type="http://schemas.openxmlformats.org/officeDocument/2006/relationships/drawing" Target="../drawings/drawing16.xml"/>
</Relationships>
</file>

<file path=xl/worksheets/_rels/sheet47.xml.rels><?xml version="1.0" encoding="UTF-8"?>
<Relationships xmlns="http://schemas.openxmlformats.org/package/2006/relationships"><Relationship Id="rId1" Type="http://schemas.openxmlformats.org/officeDocument/2006/relationships/drawing" Target="../drawings/drawing1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8" min="2" style="1" width="20"/>
  </cols>
  <sheetData>
    <row r="1" customFormat="false" ht="24" hidden="false" customHeight="true" outlineLevel="0" collapsed="false">
      <c r="A1" s="2" t="s">
        <v>0</v>
      </c>
      <c r="B1" s="2"/>
      <c r="C1" s="2"/>
      <c r="D1" s="2"/>
      <c r="E1" s="2"/>
      <c r="F1" s="2"/>
      <c r="G1" s="2"/>
      <c r="H1" s="2"/>
    </row>
    <row r="2" customFormat="false" ht="42" hidden="false" customHeight="true" outlineLevel="0" collapsed="false">
      <c r="A2" s="3" t="s">
        <v>1</v>
      </c>
      <c r="B2" s="3"/>
      <c r="C2" s="3"/>
      <c r="D2" s="3"/>
      <c r="E2" s="3"/>
      <c r="F2" s="3"/>
      <c r="G2" s="3"/>
      <c r="H2" s="3"/>
    </row>
    <row r="3" customFormat="false" ht="13.5" hidden="false" customHeight="true" outlineLevel="0" collapsed="false"/>
    <row r="4" customFormat="false" ht="19.5" hidden="false" customHeight="true" outlineLevel="0" collapsed="false">
      <c r="A4" s="4" t="s">
        <v>2</v>
      </c>
      <c r="B4" s="4"/>
      <c r="C4" s="4"/>
      <c r="D4" s="4"/>
      <c r="E4" s="4"/>
      <c r="F4" s="4"/>
      <c r="G4" s="4"/>
      <c r="H4" s="4"/>
    </row>
    <row r="5" customFormat="false" ht="79.5" hidden="false" customHeight="true" outlineLevel="0" collapsed="false">
      <c r="A5" s="5" t="s">
        <v>3</v>
      </c>
      <c r="B5" s="5"/>
      <c r="C5" s="5"/>
      <c r="D5" s="5"/>
      <c r="E5" s="5"/>
      <c r="F5" s="5"/>
      <c r="G5" s="5"/>
      <c r="H5" s="5"/>
    </row>
    <row r="6" customFormat="false" ht="9.75" hidden="false" customHeight="true" outlineLevel="0" collapsed="false"/>
    <row r="7" customFormat="false" ht="19.5" hidden="false" customHeight="true" outlineLevel="0" collapsed="false">
      <c r="A7" s="4" t="s">
        <v>4</v>
      </c>
      <c r="B7" s="4"/>
      <c r="C7" s="4"/>
      <c r="D7" s="4"/>
      <c r="E7" s="4"/>
      <c r="F7" s="4"/>
      <c r="G7" s="4"/>
      <c r="H7" s="4"/>
    </row>
    <row r="8" customFormat="false" ht="54.75" hidden="false" customHeight="true" outlineLevel="0" collapsed="false">
      <c r="A8" s="5" t="s">
        <v>5</v>
      </c>
      <c r="B8" s="5"/>
      <c r="C8" s="5"/>
      <c r="D8" s="5"/>
      <c r="E8" s="5"/>
      <c r="F8" s="5"/>
      <c r="G8" s="5"/>
      <c r="H8" s="5"/>
    </row>
    <row r="9" customFormat="false" ht="9.75" hidden="false" customHeight="true" outlineLevel="0" collapsed="false"/>
    <row r="10" customFormat="false" ht="19.5" hidden="false" customHeight="true" outlineLevel="0" collapsed="false">
      <c r="A10" s="4" t="s">
        <v>6</v>
      </c>
      <c r="B10" s="4"/>
      <c r="C10" s="4"/>
      <c r="D10" s="4"/>
      <c r="E10" s="4"/>
      <c r="F10" s="4"/>
      <c r="G10" s="4"/>
      <c r="H10" s="4"/>
    </row>
    <row r="11" customFormat="false" ht="67.5" hidden="false" customHeight="true" outlineLevel="0" collapsed="false">
      <c r="A11" s="5" t="s">
        <v>7</v>
      </c>
      <c r="B11" s="5"/>
      <c r="C11" s="5"/>
      <c r="D11" s="5"/>
      <c r="E11" s="5"/>
      <c r="F11" s="5"/>
      <c r="G11" s="5"/>
      <c r="H11" s="5"/>
    </row>
    <row r="12" customFormat="false" ht="9.75" hidden="false" customHeight="true" outlineLevel="0" collapsed="false"/>
    <row r="13" customFormat="false" ht="19.5" hidden="false" customHeight="true" outlineLevel="0" collapsed="false">
      <c r="A13" s="4" t="s">
        <v>8</v>
      </c>
      <c r="B13" s="4"/>
      <c r="C13" s="4"/>
      <c r="D13" s="4"/>
      <c r="E13" s="4"/>
      <c r="F13" s="4"/>
      <c r="G13" s="4"/>
      <c r="H13" s="4"/>
    </row>
    <row r="14" customFormat="false" ht="24" hidden="false" customHeight="true" outlineLevel="0" collapsed="false">
      <c r="A14" s="6" t="s">
        <v>9</v>
      </c>
      <c r="B14" s="6" t="s">
        <v>10</v>
      </c>
      <c r="C14" s="7" t="s">
        <v>11</v>
      </c>
      <c r="D14" s="7"/>
      <c r="E14" s="7"/>
      <c r="F14" s="7"/>
      <c r="G14" s="7"/>
      <c r="H14" s="7"/>
    </row>
    <row r="15" customFormat="false" ht="67.5" hidden="false" customHeight="true" outlineLevel="0" collapsed="false">
      <c r="A15" s="8" t="s">
        <v>12</v>
      </c>
      <c r="B15" s="9" t="s">
        <v>13</v>
      </c>
      <c r="C15" s="9" t="s">
        <v>14</v>
      </c>
      <c r="D15" s="9"/>
      <c r="E15" s="9"/>
      <c r="F15" s="9"/>
      <c r="G15" s="9"/>
      <c r="H15" s="9"/>
    </row>
    <row r="16" customFormat="false" ht="93" hidden="false" customHeight="true" outlineLevel="0" collapsed="false">
      <c r="A16" s="8" t="s">
        <v>15</v>
      </c>
      <c r="B16" s="9" t="s">
        <v>16</v>
      </c>
      <c r="C16" s="9" t="s">
        <v>17</v>
      </c>
      <c r="D16" s="9"/>
      <c r="E16" s="9"/>
      <c r="F16" s="9"/>
      <c r="G16" s="9"/>
      <c r="H16" s="9"/>
    </row>
    <row r="17" customFormat="false" ht="105" hidden="false" customHeight="true" outlineLevel="0" collapsed="false">
      <c r="A17" s="8" t="s">
        <v>18</v>
      </c>
      <c r="B17" s="9" t="s">
        <v>19</v>
      </c>
      <c r="C17" s="9" t="s">
        <v>20</v>
      </c>
      <c r="D17" s="9"/>
      <c r="E17" s="9"/>
      <c r="F17" s="9"/>
      <c r="G17" s="9"/>
      <c r="H17" s="9"/>
    </row>
    <row r="18" customFormat="false" ht="42" hidden="false" customHeight="true" outlineLevel="0" collapsed="false">
      <c r="A18" s="8" t="s">
        <v>21</v>
      </c>
      <c r="B18" s="9" t="s">
        <v>22</v>
      </c>
      <c r="C18" s="9" t="s">
        <v>23</v>
      </c>
      <c r="D18" s="9"/>
      <c r="E18" s="9"/>
      <c r="F18" s="9"/>
      <c r="G18" s="9"/>
      <c r="H18" s="9"/>
    </row>
    <row r="19" customFormat="false" ht="67.5" hidden="false" customHeight="true" outlineLevel="0" collapsed="false">
      <c r="A19" s="8" t="s">
        <v>24</v>
      </c>
      <c r="B19" s="9" t="s">
        <v>25</v>
      </c>
      <c r="C19" s="9" t="s">
        <v>26</v>
      </c>
      <c r="D19" s="9"/>
      <c r="E19" s="9"/>
      <c r="F19" s="9"/>
      <c r="G19" s="9"/>
      <c r="H19" s="9"/>
    </row>
    <row r="20" customFormat="false" ht="54.75" hidden="false" customHeight="true" outlineLevel="0" collapsed="false">
      <c r="A20" s="8" t="s">
        <v>27</v>
      </c>
      <c r="B20" s="9" t="s">
        <v>28</v>
      </c>
      <c r="C20" s="9" t="s">
        <v>29</v>
      </c>
      <c r="D20" s="9"/>
      <c r="E20" s="9"/>
      <c r="F20" s="9"/>
      <c r="G20" s="9"/>
      <c r="H20" s="9"/>
    </row>
    <row r="21" customFormat="false" ht="42" hidden="false" customHeight="true" outlineLevel="0" collapsed="false">
      <c r="A21" s="8" t="s">
        <v>30</v>
      </c>
      <c r="B21" s="9" t="s">
        <v>31</v>
      </c>
      <c r="C21" s="9" t="s">
        <v>32</v>
      </c>
      <c r="D21" s="9"/>
      <c r="E21" s="9"/>
      <c r="F21" s="9"/>
      <c r="G21" s="9"/>
      <c r="H21" s="9"/>
    </row>
    <row r="22" customFormat="false" ht="54.75" hidden="false" customHeight="true" outlineLevel="0" collapsed="false">
      <c r="A22" s="8" t="s">
        <v>33</v>
      </c>
      <c r="B22" s="9" t="s">
        <v>34</v>
      </c>
      <c r="C22" s="9" t="s">
        <v>35</v>
      </c>
      <c r="D22" s="9"/>
      <c r="E22" s="9"/>
      <c r="F22" s="9"/>
      <c r="G22" s="9"/>
      <c r="H22" s="9"/>
    </row>
    <row r="23" customFormat="false" ht="42" hidden="false" customHeight="true" outlineLevel="0" collapsed="false">
      <c r="A23" s="8" t="s">
        <v>36</v>
      </c>
      <c r="B23" s="9" t="s">
        <v>37</v>
      </c>
      <c r="C23" s="9" t="s">
        <v>38</v>
      </c>
      <c r="D23" s="9"/>
      <c r="E23" s="9"/>
      <c r="F23" s="9"/>
      <c r="G23" s="9"/>
      <c r="H23" s="9"/>
    </row>
    <row r="24" customFormat="false" ht="142.5" hidden="false" customHeight="true" outlineLevel="0" collapsed="false">
      <c r="A24" s="8" t="s">
        <v>39</v>
      </c>
      <c r="B24" s="9" t="s">
        <v>40</v>
      </c>
      <c r="C24" s="9" t="s">
        <v>41</v>
      </c>
    </row>
    <row r="25" customFormat="false" ht="15" hidden="false" customHeight="true" outlineLevel="0" collapsed="false">
      <c r="A25" s="10"/>
      <c r="B25" s="10"/>
      <c r="C25" s="10"/>
      <c r="D25" s="10"/>
      <c r="E25" s="10"/>
      <c r="F25" s="10"/>
      <c r="G25" s="10"/>
      <c r="H25" s="10"/>
    </row>
    <row r="26" customFormat="false" ht="19.5" hidden="false" customHeight="true" outlineLevel="0" collapsed="false">
      <c r="A26" s="4" t="s">
        <v>42</v>
      </c>
      <c r="B26" s="4"/>
      <c r="C26" s="4"/>
      <c r="D26" s="4"/>
      <c r="E26" s="4"/>
      <c r="F26" s="4"/>
      <c r="G26" s="4"/>
      <c r="H26" s="4"/>
    </row>
    <row r="27" customFormat="false" ht="243.75" hidden="false" customHeight="true" outlineLevel="0" collapsed="false">
      <c r="A27" s="11" t="s">
        <v>43</v>
      </c>
    </row>
    <row r="28" customFormat="false" ht="15" hidden="false" customHeight="true" outlineLevel="0" collapsed="false">
      <c r="A28" s="10"/>
      <c r="B28" s="10"/>
      <c r="C28" s="10"/>
      <c r="D28" s="10"/>
      <c r="E28" s="10"/>
      <c r="F28" s="10"/>
      <c r="G28" s="10"/>
      <c r="H28" s="10"/>
    </row>
    <row r="29" customFormat="false" ht="19.5" hidden="false" customHeight="true" outlineLevel="0" collapsed="false">
      <c r="A29" s="12" t="s">
        <v>44</v>
      </c>
      <c r="C29" s="10"/>
      <c r="D29" s="10"/>
      <c r="E29" s="10"/>
      <c r="F29" s="10"/>
      <c r="G29" s="10"/>
      <c r="H29" s="10"/>
    </row>
    <row r="30" customFormat="false" ht="24" hidden="false" customHeight="true" outlineLevel="0" collapsed="false">
      <c r="A30" s="6" t="s">
        <v>45</v>
      </c>
      <c r="B30" s="6" t="s">
        <v>46</v>
      </c>
      <c r="C30" s="6" t="s">
        <v>47</v>
      </c>
      <c r="D30" s="6"/>
      <c r="E30" s="6"/>
      <c r="F30" s="6"/>
      <c r="G30" s="6"/>
      <c r="H30" s="6"/>
    </row>
    <row r="31" customFormat="false" ht="42" hidden="false" customHeight="true" outlineLevel="0" collapsed="false">
      <c r="A31" s="8" t="s">
        <v>48</v>
      </c>
      <c r="B31" s="9" t="s">
        <v>49</v>
      </c>
      <c r="C31" s="9" t="s">
        <v>50</v>
      </c>
      <c r="D31" s="9"/>
      <c r="E31" s="9"/>
      <c r="F31" s="9"/>
      <c r="G31" s="9"/>
      <c r="H31" s="9"/>
    </row>
    <row r="32" customFormat="false" ht="79.5" hidden="false" customHeight="true" outlineLevel="0" collapsed="false">
      <c r="A32" s="8" t="s">
        <v>51</v>
      </c>
      <c r="B32" s="9" t="s">
        <v>52</v>
      </c>
      <c r="C32" s="9" t="s">
        <v>53</v>
      </c>
      <c r="D32" s="9"/>
      <c r="E32" s="9"/>
      <c r="F32" s="9"/>
      <c r="G32" s="9"/>
      <c r="H32" s="9"/>
    </row>
    <row r="33" customFormat="false" ht="42" hidden="false" customHeight="true" outlineLevel="0" collapsed="false">
      <c r="A33" s="8" t="s">
        <v>54</v>
      </c>
      <c r="B33" s="9" t="s">
        <v>52</v>
      </c>
      <c r="C33" s="9" t="s">
        <v>55</v>
      </c>
      <c r="D33" s="9"/>
      <c r="E33" s="9"/>
      <c r="F33" s="9"/>
      <c r="G33" s="9"/>
      <c r="H33" s="9"/>
    </row>
    <row r="34" customFormat="false" ht="79.5" hidden="false" customHeight="true" outlineLevel="0" collapsed="false">
      <c r="A34" s="8" t="s">
        <v>56</v>
      </c>
      <c r="B34" s="9" t="s">
        <v>52</v>
      </c>
      <c r="C34" s="9" t="s">
        <v>57</v>
      </c>
      <c r="D34" s="9"/>
      <c r="E34" s="9"/>
      <c r="F34" s="9"/>
      <c r="G34" s="9"/>
      <c r="H34" s="9"/>
    </row>
    <row r="35" customFormat="false" ht="300" hidden="false" customHeight="true" outlineLevel="0" collapsed="false">
      <c r="A35" s="8" t="s">
        <v>58</v>
      </c>
      <c r="B35" s="9" t="s">
        <v>52</v>
      </c>
      <c r="C35" s="9" t="s">
        <v>59</v>
      </c>
    </row>
    <row r="36" customFormat="false" ht="15" hidden="false" customHeight="true" outlineLevel="0" collapsed="false">
      <c r="A36" s="10"/>
      <c r="B36" s="10"/>
      <c r="C36" s="10"/>
      <c r="D36" s="10"/>
      <c r="E36" s="10"/>
      <c r="F36" s="10"/>
      <c r="G36" s="10"/>
      <c r="H36" s="10"/>
    </row>
    <row r="37" customFormat="false" ht="19.5" hidden="false" customHeight="true" outlineLevel="0" collapsed="false">
      <c r="A37" s="4" t="s">
        <v>60</v>
      </c>
      <c r="B37" s="4"/>
      <c r="C37" s="4"/>
      <c r="D37" s="4"/>
      <c r="E37" s="4"/>
      <c r="F37" s="4"/>
      <c r="G37" s="4"/>
      <c r="H37" s="4"/>
    </row>
    <row r="38" customFormat="false" ht="300" hidden="false" customHeight="true" outlineLevel="0" collapsed="false">
      <c r="A38" s="11" t="s">
        <v>61</v>
      </c>
    </row>
    <row r="39" customFormat="false" ht="27.75" hidden="false" customHeight="true" outlineLevel="0" collapsed="false">
      <c r="A39" s="10"/>
      <c r="B39" s="10"/>
      <c r="C39" s="10"/>
      <c r="D39" s="10"/>
      <c r="E39" s="10"/>
      <c r="F39" s="10"/>
      <c r="G39" s="10"/>
      <c r="H39" s="10"/>
    </row>
    <row r="40" customFormat="false" ht="105" hidden="false" customHeight="true" outlineLevel="0" collapsed="false">
      <c r="A40" s="13" t="s">
        <v>62</v>
      </c>
    </row>
  </sheetData>
  <mergeCells count="31">
    <mergeCell ref="A1:H1"/>
    <mergeCell ref="A2:H2"/>
    <mergeCell ref="A4:H4"/>
    <mergeCell ref="A5:H5"/>
    <mergeCell ref="A7:H7"/>
    <mergeCell ref="A8:H8"/>
    <mergeCell ref="A10:H10"/>
    <mergeCell ref="A11:H11"/>
    <mergeCell ref="A13:H13"/>
    <mergeCell ref="C14:H14"/>
    <mergeCell ref="C15:H15"/>
    <mergeCell ref="C16:H16"/>
    <mergeCell ref="C17:H17"/>
    <mergeCell ref="C18:H18"/>
    <mergeCell ref="C19:H19"/>
    <mergeCell ref="C20:H20"/>
    <mergeCell ref="C21:H21"/>
    <mergeCell ref="C22:H22"/>
    <mergeCell ref="C23:H23"/>
    <mergeCell ref="A25:H25"/>
    <mergeCell ref="A26:H26"/>
    <mergeCell ref="A28:H28"/>
    <mergeCell ref="C29:H29"/>
    <mergeCell ref="C30:H30"/>
    <mergeCell ref="C31:H31"/>
    <mergeCell ref="C32:H32"/>
    <mergeCell ref="C33:H33"/>
    <mergeCell ref="C34:H34"/>
    <mergeCell ref="A36:H36"/>
    <mergeCell ref="A37:H37"/>
    <mergeCell ref="A39:H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3" min="2" style="1" width="52"/>
    <col collapsed="false" customWidth="true" hidden="false" outlineLevel="0" max="4" min="4" style="1" width="30"/>
  </cols>
  <sheetData>
    <row r="1" customFormat="false" ht="24" hidden="false" customHeight="true" outlineLevel="0" collapsed="false">
      <c r="A1" s="14" t="s">
        <v>63</v>
      </c>
      <c r="B1" s="14"/>
      <c r="C1" s="14"/>
      <c r="D1" s="14"/>
    </row>
    <row r="2" customFormat="false" ht="54.75" hidden="false" customHeight="true" outlineLevel="0" collapsed="false">
      <c r="A2" s="3" t="s">
        <v>64</v>
      </c>
      <c r="B2" s="3"/>
      <c r="C2" s="3"/>
      <c r="D2" s="3"/>
    </row>
    <row r="3" customFormat="false" ht="13.5" hidden="false" customHeight="true" outlineLevel="0" collapsed="false"/>
    <row r="4" customFormat="false" ht="19.5" hidden="false" customHeight="true" outlineLevel="0" collapsed="false">
      <c r="A4" s="15" t="s">
        <v>65</v>
      </c>
      <c r="B4" s="15"/>
      <c r="C4" s="15"/>
      <c r="D4" s="15"/>
    </row>
    <row r="5" customFormat="false" ht="30" hidden="false" customHeight="true" outlineLevel="0" collapsed="false">
      <c r="A5" s="5" t="s">
        <v>66</v>
      </c>
      <c r="B5" s="5"/>
      <c r="C5" s="5"/>
      <c r="D5" s="5"/>
    </row>
    <row r="6" customFormat="false" ht="67.5" hidden="false" customHeight="true" outlineLevel="0" collapsed="false">
      <c r="A6" s="5" t="s">
        <v>67</v>
      </c>
      <c r="B6" s="5"/>
      <c r="C6" s="5"/>
      <c r="D6" s="5"/>
    </row>
    <row r="7" customFormat="false" ht="30" hidden="false" customHeight="true" outlineLevel="0" collapsed="false">
      <c r="A7" s="5" t="s">
        <v>68</v>
      </c>
      <c r="B7" s="5"/>
      <c r="C7" s="5"/>
      <c r="D7" s="5"/>
    </row>
    <row r="8" customFormat="false" ht="9.75" hidden="false" customHeight="true" outlineLevel="0" collapsed="false"/>
    <row r="9" customFormat="false" ht="19.5" hidden="false" customHeight="true" outlineLevel="0" collapsed="false">
      <c r="A9" s="15" t="s">
        <v>69</v>
      </c>
      <c r="B9" s="15"/>
      <c r="C9" s="15"/>
      <c r="D9" s="15"/>
    </row>
    <row r="10" customFormat="false" ht="24" hidden="false" customHeight="true" outlineLevel="0" collapsed="false">
      <c r="A10" s="7" t="s">
        <v>70</v>
      </c>
      <c r="B10" s="7" t="s">
        <v>71</v>
      </c>
      <c r="C10" s="7" t="s">
        <v>72</v>
      </c>
    </row>
    <row r="11" customFormat="false" ht="193.5" hidden="false" customHeight="true" outlineLevel="0" collapsed="false">
      <c r="A11" s="9" t="s">
        <v>73</v>
      </c>
      <c r="B11" s="9" t="s">
        <v>74</v>
      </c>
      <c r="C11" s="9" t="s">
        <v>75</v>
      </c>
    </row>
    <row r="12" customFormat="false" ht="156" hidden="false" customHeight="true" outlineLevel="0" collapsed="false">
      <c r="A12" s="9" t="s">
        <v>76</v>
      </c>
      <c r="B12" s="9" t="s">
        <v>77</v>
      </c>
      <c r="C12" s="9" t="s">
        <v>78</v>
      </c>
    </row>
    <row r="13" customFormat="false" ht="105" hidden="false" customHeight="true" outlineLevel="0" collapsed="false">
      <c r="A13" s="9" t="s">
        <v>79</v>
      </c>
      <c r="B13" s="9" t="s">
        <v>80</v>
      </c>
      <c r="C13" s="9" t="s">
        <v>81</v>
      </c>
    </row>
    <row r="14" customFormat="false" ht="130.5" hidden="false" customHeight="true" outlineLevel="0" collapsed="false">
      <c r="A14" s="9" t="s">
        <v>82</v>
      </c>
      <c r="B14" s="9" t="s">
        <v>83</v>
      </c>
      <c r="C14" s="9" t="s">
        <v>84</v>
      </c>
    </row>
    <row r="15" customFormat="false" ht="105" hidden="false" customHeight="true" outlineLevel="0" collapsed="false">
      <c r="A15" s="9" t="s">
        <v>85</v>
      </c>
      <c r="B15" s="9" t="s">
        <v>86</v>
      </c>
      <c r="C15" s="9" t="s">
        <v>87</v>
      </c>
    </row>
    <row r="16" customFormat="false" ht="9.75" hidden="false" customHeight="true" outlineLevel="0" collapsed="false"/>
    <row r="17" customFormat="false" ht="19.5" hidden="false" customHeight="true" outlineLevel="0" collapsed="false">
      <c r="A17" s="15" t="s">
        <v>88</v>
      </c>
      <c r="B17" s="15"/>
      <c r="C17" s="15"/>
      <c r="D17" s="15"/>
    </row>
    <row r="18" customFormat="false" ht="33.75" hidden="false" customHeight="true" outlineLevel="0" collapsed="false">
      <c r="A18" s="7" t="s">
        <v>89</v>
      </c>
      <c r="B18" s="7" t="s">
        <v>90</v>
      </c>
      <c r="C18" s="7" t="s">
        <v>91</v>
      </c>
      <c r="D18" s="7" t="s">
        <v>92</v>
      </c>
    </row>
    <row r="19" customFormat="false" ht="219" hidden="false" customHeight="true" outlineLevel="0" collapsed="false">
      <c r="A19" s="8" t="s">
        <v>93</v>
      </c>
      <c r="B19" s="9" t="s">
        <v>94</v>
      </c>
      <c r="C19" s="9" t="s">
        <v>95</v>
      </c>
      <c r="D19" s="9" t="s">
        <v>96</v>
      </c>
    </row>
    <row r="20" customFormat="false" ht="219" hidden="false" customHeight="true" outlineLevel="0" collapsed="false">
      <c r="A20" s="8" t="s">
        <v>97</v>
      </c>
      <c r="B20" s="9" t="s">
        <v>98</v>
      </c>
      <c r="C20" s="9" t="s">
        <v>99</v>
      </c>
      <c r="D20" s="9" t="s">
        <v>100</v>
      </c>
    </row>
    <row r="21" customFormat="false" ht="219" hidden="false" customHeight="true" outlineLevel="0" collapsed="false">
      <c r="A21" s="8" t="s">
        <v>101</v>
      </c>
      <c r="B21" s="9" t="s">
        <v>102</v>
      </c>
      <c r="C21" s="9" t="s">
        <v>103</v>
      </c>
      <c r="D21" s="9" t="s">
        <v>104</v>
      </c>
    </row>
    <row r="22" customFormat="false" ht="130.5" hidden="false" customHeight="true" outlineLevel="0" collapsed="false">
      <c r="A22" s="8" t="s">
        <v>105</v>
      </c>
      <c r="B22" s="9" t="s">
        <v>106</v>
      </c>
      <c r="C22" s="9" t="s">
        <v>107</v>
      </c>
      <c r="D22" s="9" t="s">
        <v>108</v>
      </c>
    </row>
    <row r="23" customFormat="false" ht="193.5" hidden="false" customHeight="true" outlineLevel="0" collapsed="false">
      <c r="A23" s="8" t="s">
        <v>109</v>
      </c>
      <c r="B23" s="9" t="s">
        <v>110</v>
      </c>
      <c r="C23" s="9" t="s">
        <v>111</v>
      </c>
      <c r="D23" s="9" t="s">
        <v>112</v>
      </c>
    </row>
    <row r="24" customFormat="false" ht="243.75" hidden="false" customHeight="true" outlineLevel="0" collapsed="false">
      <c r="A24" s="8" t="s">
        <v>113</v>
      </c>
      <c r="B24" s="9" t="s">
        <v>114</v>
      </c>
      <c r="C24" s="9" t="s">
        <v>115</v>
      </c>
      <c r="D24" s="9" t="s">
        <v>116</v>
      </c>
    </row>
    <row r="25" customFormat="false" ht="231" hidden="false" customHeight="true" outlineLevel="0" collapsed="false">
      <c r="A25" s="8" t="s">
        <v>117</v>
      </c>
      <c r="B25" s="9" t="s">
        <v>118</v>
      </c>
      <c r="C25" s="9" t="s">
        <v>119</v>
      </c>
      <c r="D25" s="9" t="s">
        <v>120</v>
      </c>
    </row>
    <row r="26" customFormat="false" ht="243.75" hidden="false" customHeight="true" outlineLevel="0" collapsed="false">
      <c r="A26" s="8" t="s">
        <v>121</v>
      </c>
      <c r="B26" s="9" t="s">
        <v>122</v>
      </c>
      <c r="C26" s="9" t="s">
        <v>123</v>
      </c>
      <c r="D26" s="9" t="s">
        <v>116</v>
      </c>
    </row>
    <row r="27" customFormat="false" ht="193.5" hidden="false" customHeight="true" outlineLevel="0" collapsed="false">
      <c r="A27" s="8" t="s">
        <v>124</v>
      </c>
      <c r="B27" s="9" t="s">
        <v>125</v>
      </c>
      <c r="C27" s="9" t="s">
        <v>126</v>
      </c>
      <c r="D27" s="9" t="s">
        <v>127</v>
      </c>
    </row>
    <row r="28" customFormat="false" ht="256.5" hidden="false" customHeight="true" outlineLevel="0" collapsed="false">
      <c r="A28" s="8" t="s">
        <v>128</v>
      </c>
      <c r="B28" s="9" t="s">
        <v>129</v>
      </c>
      <c r="C28" s="9" t="s">
        <v>130</v>
      </c>
      <c r="D28" s="9" t="s">
        <v>131</v>
      </c>
    </row>
    <row r="29" customFormat="false" ht="231" hidden="false" customHeight="true" outlineLevel="0" collapsed="false">
      <c r="A29" s="8" t="s">
        <v>132</v>
      </c>
      <c r="B29" s="9" t="s">
        <v>133</v>
      </c>
      <c r="C29" s="9" t="s">
        <v>134</v>
      </c>
      <c r="D29" s="9" t="s">
        <v>135</v>
      </c>
    </row>
    <row r="30" customFormat="false" ht="231" hidden="false" customHeight="true" outlineLevel="0" collapsed="false">
      <c r="A30" s="8" t="s">
        <v>136</v>
      </c>
      <c r="B30" s="9" t="s">
        <v>137</v>
      </c>
      <c r="C30" s="9" t="s">
        <v>138</v>
      </c>
      <c r="D30" s="9" t="s">
        <v>139</v>
      </c>
    </row>
    <row r="31" customFormat="false" ht="243.75" hidden="false" customHeight="true" outlineLevel="0" collapsed="false">
      <c r="A31" s="8" t="s">
        <v>140</v>
      </c>
      <c r="B31" s="9" t="s">
        <v>141</v>
      </c>
      <c r="C31" s="9" t="s">
        <v>142</v>
      </c>
      <c r="D31" s="9" t="s">
        <v>143</v>
      </c>
    </row>
    <row r="32" customFormat="false" ht="205.5" hidden="false" customHeight="true" outlineLevel="0" collapsed="false">
      <c r="A32" s="8" t="s">
        <v>144</v>
      </c>
      <c r="B32" s="9" t="s">
        <v>145</v>
      </c>
      <c r="C32" s="9" t="s">
        <v>146</v>
      </c>
      <c r="D32" s="9" t="s">
        <v>147</v>
      </c>
    </row>
    <row r="33" customFormat="false" ht="193.5" hidden="false" customHeight="true" outlineLevel="0" collapsed="false">
      <c r="A33" s="8" t="s">
        <v>148</v>
      </c>
      <c r="B33" s="9" t="s">
        <v>149</v>
      </c>
      <c r="C33" s="9" t="s">
        <v>150</v>
      </c>
      <c r="D33" s="9" t="s">
        <v>151</v>
      </c>
    </row>
    <row r="34" customFormat="false" ht="256.5" hidden="false" customHeight="true" outlineLevel="0" collapsed="false">
      <c r="A34" s="8" t="s">
        <v>152</v>
      </c>
      <c r="B34" s="9" t="s">
        <v>153</v>
      </c>
      <c r="C34" s="9" t="s">
        <v>154</v>
      </c>
      <c r="D34" s="9" t="s">
        <v>155</v>
      </c>
    </row>
    <row r="35" customFormat="false" ht="142.5" hidden="false" customHeight="true" outlineLevel="0" collapsed="false">
      <c r="A35" s="8" t="s">
        <v>156</v>
      </c>
      <c r="B35" s="9" t="s">
        <v>157</v>
      </c>
      <c r="C35" s="9" t="s">
        <v>158</v>
      </c>
      <c r="D35" s="9" t="s">
        <v>159</v>
      </c>
    </row>
    <row r="36" customFormat="false" ht="231" hidden="false" customHeight="true" outlineLevel="0" collapsed="false">
      <c r="A36" s="8" t="s">
        <v>160</v>
      </c>
      <c r="B36" s="9" t="s">
        <v>161</v>
      </c>
      <c r="C36" s="9" t="s">
        <v>162</v>
      </c>
      <c r="D36" s="9" t="s">
        <v>163</v>
      </c>
    </row>
    <row r="37" customFormat="false" ht="9.75" hidden="false" customHeight="true" outlineLevel="0" collapsed="false"/>
    <row r="38" customFormat="false" ht="19.5" hidden="false" customHeight="true" outlineLevel="0" collapsed="false">
      <c r="A38" s="15" t="s">
        <v>164</v>
      </c>
      <c r="B38" s="15"/>
      <c r="C38" s="15"/>
      <c r="D38" s="15"/>
    </row>
    <row r="39" customFormat="false" ht="33.75" hidden="false" customHeight="true" outlineLevel="0" collapsed="false">
      <c r="A39" s="7" t="s">
        <v>165</v>
      </c>
      <c r="B39" s="7" t="s">
        <v>166</v>
      </c>
      <c r="C39" s="7" t="s">
        <v>167</v>
      </c>
    </row>
    <row r="40" customFormat="false" ht="300" hidden="false" customHeight="true" outlineLevel="0" collapsed="false">
      <c r="A40" s="8" t="s">
        <v>168</v>
      </c>
      <c r="B40" s="9" t="s">
        <v>169</v>
      </c>
      <c r="C40" s="9" t="s">
        <v>170</v>
      </c>
    </row>
    <row r="41" customFormat="false" ht="193.5" hidden="false" customHeight="true" outlineLevel="0" collapsed="false">
      <c r="A41" s="8" t="s">
        <v>171</v>
      </c>
      <c r="B41" s="9" t="s">
        <v>172</v>
      </c>
      <c r="C41" s="9" t="s">
        <v>173</v>
      </c>
    </row>
    <row r="42" customFormat="false" ht="231" hidden="false" customHeight="true" outlineLevel="0" collapsed="false">
      <c r="A42" s="8" t="s">
        <v>174</v>
      </c>
      <c r="B42" s="9" t="s">
        <v>175</v>
      </c>
      <c r="C42" s="9" t="s">
        <v>176</v>
      </c>
    </row>
    <row r="43" customFormat="false" ht="256.5" hidden="false" customHeight="true" outlineLevel="0" collapsed="false">
      <c r="A43" s="8" t="s">
        <v>177</v>
      </c>
      <c r="B43" s="9" t="s">
        <v>178</v>
      </c>
      <c r="C43" s="9" t="s">
        <v>179</v>
      </c>
    </row>
    <row r="44" customFormat="false" ht="219" hidden="false" customHeight="true" outlineLevel="0" collapsed="false">
      <c r="A44" s="8" t="s">
        <v>180</v>
      </c>
      <c r="B44" s="9" t="s">
        <v>181</v>
      </c>
      <c r="C44" s="9" t="s">
        <v>182</v>
      </c>
    </row>
    <row r="45" customFormat="false" ht="231" hidden="false" customHeight="true" outlineLevel="0" collapsed="false">
      <c r="A45" s="8" t="s">
        <v>183</v>
      </c>
      <c r="B45" s="9" t="s">
        <v>184</v>
      </c>
      <c r="C45" s="9" t="s">
        <v>185</v>
      </c>
    </row>
    <row r="46" customFormat="false" ht="156" hidden="false" customHeight="true" outlineLevel="0" collapsed="false">
      <c r="A46" s="8" t="s">
        <v>186</v>
      </c>
      <c r="B46" s="9" t="s">
        <v>187</v>
      </c>
      <c r="C46" s="9" t="s">
        <v>188</v>
      </c>
    </row>
    <row r="47" customFormat="false" ht="9.75" hidden="false" customHeight="true" outlineLevel="0" collapsed="false"/>
    <row r="48" customFormat="false" ht="19.5" hidden="false" customHeight="true" outlineLevel="0" collapsed="false">
      <c r="A48" s="15" t="s">
        <v>189</v>
      </c>
      <c r="B48" s="15"/>
      <c r="C48" s="15"/>
      <c r="D48" s="15"/>
    </row>
    <row r="49" customFormat="false" ht="54.75" hidden="false" customHeight="true" outlineLevel="0" collapsed="false">
      <c r="A49" s="5" t="s">
        <v>190</v>
      </c>
      <c r="B49" s="5"/>
      <c r="C49" s="5"/>
      <c r="D49" s="5"/>
    </row>
    <row r="50" customFormat="false" ht="30" hidden="false" customHeight="true" outlineLevel="0" collapsed="false">
      <c r="A50" s="5" t="s">
        <v>191</v>
      </c>
      <c r="B50" s="5"/>
      <c r="C50" s="5"/>
      <c r="D50" s="5"/>
    </row>
    <row r="51" customFormat="false" ht="30" hidden="false" customHeight="true" outlineLevel="0" collapsed="false">
      <c r="A51" s="5" t="s">
        <v>192</v>
      </c>
      <c r="B51" s="5"/>
      <c r="C51" s="5"/>
      <c r="D51" s="5"/>
    </row>
    <row r="52" customFormat="false" ht="30" hidden="false" customHeight="true" outlineLevel="0" collapsed="false">
      <c r="A52" s="5" t="s">
        <v>193</v>
      </c>
      <c r="B52" s="5"/>
      <c r="C52" s="5"/>
      <c r="D52" s="5"/>
    </row>
    <row r="53" customFormat="false" ht="30" hidden="false" customHeight="true" outlineLevel="0" collapsed="false">
      <c r="A53" s="5" t="s">
        <v>194</v>
      </c>
      <c r="B53" s="5"/>
      <c r="C53" s="5"/>
      <c r="D53" s="5"/>
    </row>
    <row r="54" customFormat="false" ht="9.75" hidden="false" customHeight="true" outlineLevel="0" collapsed="false"/>
    <row r="55" customFormat="false" ht="19.5" hidden="false" customHeight="true" outlineLevel="0" collapsed="false">
      <c r="A55" s="15" t="s">
        <v>195</v>
      </c>
      <c r="B55" s="15"/>
      <c r="C55" s="15"/>
      <c r="D55" s="15"/>
    </row>
    <row r="56" customFormat="false" ht="54.75" hidden="false" customHeight="true" outlineLevel="0" collapsed="false">
      <c r="A56" s="5" t="s">
        <v>196</v>
      </c>
      <c r="B56" s="5"/>
      <c r="C56" s="5"/>
      <c r="D56" s="5"/>
    </row>
    <row r="57" customFormat="false" ht="42" hidden="false" customHeight="true" outlineLevel="0" collapsed="false">
      <c r="A57" s="5" t="s">
        <v>197</v>
      </c>
      <c r="B57" s="5"/>
      <c r="C57" s="5"/>
      <c r="D57" s="5"/>
    </row>
    <row r="58" customFormat="false" ht="30" hidden="false" customHeight="true" outlineLevel="0" collapsed="false">
      <c r="A58" s="5" t="s">
        <v>198</v>
      </c>
      <c r="B58" s="5"/>
      <c r="C58" s="5"/>
      <c r="D58" s="5"/>
    </row>
    <row r="59" customFormat="false" ht="30" hidden="false" customHeight="true" outlineLevel="0" collapsed="false">
      <c r="A59" s="5" t="s">
        <v>199</v>
      </c>
      <c r="B59" s="5"/>
      <c r="C59" s="5"/>
      <c r="D59" s="5"/>
    </row>
    <row r="60" customFormat="false" ht="54.75" hidden="false" customHeight="true" outlineLevel="0" collapsed="false">
      <c r="A60" s="5" t="s">
        <v>200</v>
      </c>
      <c r="B60" s="5"/>
      <c r="C60" s="5"/>
      <c r="D60" s="5"/>
    </row>
    <row r="61" customFormat="false" ht="9.75" hidden="false" customHeight="true" outlineLevel="0" collapsed="false"/>
    <row r="62" customFormat="false" ht="19.5" hidden="false" customHeight="true" outlineLevel="0" collapsed="false">
      <c r="A62" s="15" t="s">
        <v>201</v>
      </c>
      <c r="B62" s="15"/>
      <c r="C62" s="15"/>
      <c r="D62" s="15"/>
    </row>
    <row r="63" customFormat="false" ht="24" hidden="false" customHeight="true" outlineLevel="0" collapsed="false">
      <c r="A63" s="7" t="s">
        <v>202</v>
      </c>
      <c r="B63" s="7" t="s">
        <v>203</v>
      </c>
      <c r="C63" s="7" t="s">
        <v>204</v>
      </c>
      <c r="D63" s="7" t="s">
        <v>205</v>
      </c>
    </row>
    <row r="64" customFormat="false" ht="67.5" hidden="false" customHeight="true" outlineLevel="0" collapsed="false">
      <c r="A64" s="8" t="s">
        <v>48</v>
      </c>
      <c r="B64" s="9" t="s">
        <v>206</v>
      </c>
      <c r="C64" s="9" t="s">
        <v>207</v>
      </c>
      <c r="D64" s="9" t="s">
        <v>132</v>
      </c>
    </row>
    <row r="65" customFormat="false" ht="54.75" hidden="false" customHeight="true" outlineLevel="0" collapsed="false">
      <c r="A65" s="8" t="s">
        <v>51</v>
      </c>
      <c r="B65" s="9" t="s">
        <v>208</v>
      </c>
      <c r="C65" s="9" t="s">
        <v>209</v>
      </c>
      <c r="D65" s="9" t="s">
        <v>132</v>
      </c>
    </row>
    <row r="66" customFormat="false" ht="16.5" hidden="false" customHeight="true" outlineLevel="0" collapsed="false">
      <c r="A66" s="8" t="s">
        <v>54</v>
      </c>
      <c r="B66" s="9" t="s">
        <v>210</v>
      </c>
      <c r="C66" s="9" t="s">
        <v>211</v>
      </c>
      <c r="D66" s="9" t="s">
        <v>144</v>
      </c>
    </row>
    <row r="67" customFormat="false" ht="130.5" hidden="false" customHeight="true" outlineLevel="0" collapsed="false">
      <c r="A67" s="8" t="s">
        <v>56</v>
      </c>
      <c r="B67" s="9" t="s">
        <v>212</v>
      </c>
      <c r="C67" s="9" t="s">
        <v>213</v>
      </c>
      <c r="D67" s="9" t="s">
        <v>144</v>
      </c>
    </row>
    <row r="68" customFormat="false" ht="54.75" hidden="false" customHeight="true" outlineLevel="0" collapsed="false">
      <c r="A68" s="8" t="s">
        <v>58</v>
      </c>
      <c r="B68" s="9" t="s">
        <v>214</v>
      </c>
      <c r="C68" s="9" t="s">
        <v>215</v>
      </c>
      <c r="D68" s="9" t="s">
        <v>132</v>
      </c>
    </row>
    <row r="69" customFormat="false" ht="16.5" hidden="false" customHeight="true" outlineLevel="0" collapsed="false">
      <c r="A69" s="8" t="s">
        <v>216</v>
      </c>
      <c r="B69" s="9" t="s">
        <v>217</v>
      </c>
      <c r="C69" s="9" t="s">
        <v>218</v>
      </c>
      <c r="D69" s="9" t="s">
        <v>93</v>
      </c>
    </row>
    <row r="70" customFormat="false" ht="130.5" hidden="false" customHeight="true" outlineLevel="0" collapsed="false">
      <c r="A70" s="8" t="s">
        <v>219</v>
      </c>
      <c r="B70" s="9" t="s">
        <v>220</v>
      </c>
      <c r="C70" s="9" t="s">
        <v>221</v>
      </c>
      <c r="D70" s="9" t="s">
        <v>113</v>
      </c>
    </row>
    <row r="71" customFormat="false" ht="54.75" hidden="false" customHeight="true" outlineLevel="0" collapsed="false">
      <c r="A71" s="8" t="s">
        <v>222</v>
      </c>
      <c r="B71" s="9" t="s">
        <v>223</v>
      </c>
      <c r="C71" s="9" t="s">
        <v>224</v>
      </c>
      <c r="D71" s="9" t="s">
        <v>225</v>
      </c>
    </row>
    <row r="72" customFormat="false" ht="231" hidden="false" customHeight="true" outlineLevel="0" collapsed="false">
      <c r="A72" s="8" t="s">
        <v>226</v>
      </c>
      <c r="B72" s="9" t="s">
        <v>227</v>
      </c>
      <c r="C72" s="9" t="s">
        <v>228</v>
      </c>
      <c r="D72" s="9" t="s">
        <v>229</v>
      </c>
    </row>
    <row r="73" customFormat="false" ht="9.75" hidden="false" customHeight="true" outlineLevel="0" collapsed="false"/>
    <row r="74" customFormat="false" ht="19.5" hidden="false" customHeight="true" outlineLevel="0" collapsed="false">
      <c r="A74" s="15" t="s">
        <v>230</v>
      </c>
      <c r="B74" s="15"/>
      <c r="C74" s="15"/>
      <c r="D74" s="15"/>
    </row>
    <row r="75" customFormat="false" ht="24" hidden="false" customHeight="true" outlineLevel="0" collapsed="false">
      <c r="A75" s="7" t="s">
        <v>231</v>
      </c>
      <c r="B75" s="7" t="s">
        <v>232</v>
      </c>
      <c r="C75" s="7" t="s">
        <v>233</v>
      </c>
      <c r="D75" s="7" t="s">
        <v>234</v>
      </c>
    </row>
    <row r="76" customFormat="false" ht="142.5" hidden="false" customHeight="true" outlineLevel="0" collapsed="false">
      <c r="A76" s="8" t="s">
        <v>235</v>
      </c>
      <c r="B76" s="9" t="s">
        <v>236</v>
      </c>
      <c r="C76" s="9" t="s">
        <v>237</v>
      </c>
      <c r="D76" s="9" t="s">
        <v>238</v>
      </c>
    </row>
    <row r="77" customFormat="false" ht="79.5" hidden="false" customHeight="true" outlineLevel="0" collapsed="false">
      <c r="A77" s="8" t="s">
        <v>239</v>
      </c>
      <c r="B77" s="9" t="s">
        <v>240</v>
      </c>
      <c r="C77" s="9" t="s">
        <v>241</v>
      </c>
      <c r="D77" s="9" t="s">
        <v>242</v>
      </c>
    </row>
    <row r="78" customFormat="false" ht="79.5" hidden="false" customHeight="true" outlineLevel="0" collapsed="false">
      <c r="A78" s="8" t="s">
        <v>243</v>
      </c>
      <c r="B78" s="9" t="s">
        <v>244</v>
      </c>
      <c r="C78" s="9" t="s">
        <v>245</v>
      </c>
      <c r="D78" s="9" t="s">
        <v>246</v>
      </c>
    </row>
    <row r="79" customFormat="false" ht="117.75" hidden="false" customHeight="true" outlineLevel="0" collapsed="false">
      <c r="A79" s="8" t="s">
        <v>247</v>
      </c>
      <c r="B79" s="9" t="s">
        <v>248</v>
      </c>
      <c r="C79" s="9" t="s">
        <v>249</v>
      </c>
      <c r="D79" s="9" t="s">
        <v>250</v>
      </c>
    </row>
    <row r="80" customFormat="false" ht="93" hidden="false" customHeight="true" outlineLevel="0" collapsed="false">
      <c r="A80" s="8" t="s">
        <v>251</v>
      </c>
      <c r="B80" s="9" t="s">
        <v>252</v>
      </c>
      <c r="C80" s="9" t="s">
        <v>253</v>
      </c>
      <c r="D80" s="9" t="s">
        <v>254</v>
      </c>
    </row>
    <row r="81" customFormat="false" ht="67.5" hidden="false" customHeight="true" outlineLevel="0" collapsed="false">
      <c r="A81" s="8" t="s">
        <v>255</v>
      </c>
      <c r="B81" s="9" t="s">
        <v>256</v>
      </c>
      <c r="C81" s="9" t="s">
        <v>257</v>
      </c>
      <c r="D81" s="9" t="s">
        <v>258</v>
      </c>
    </row>
    <row r="82" customFormat="false" ht="54.75" hidden="false" customHeight="true" outlineLevel="0" collapsed="false">
      <c r="A82" s="8" t="s">
        <v>259</v>
      </c>
      <c r="B82" s="9" t="s">
        <v>260</v>
      </c>
      <c r="C82" s="9" t="s">
        <v>261</v>
      </c>
      <c r="D82" s="9" t="s">
        <v>262</v>
      </c>
    </row>
    <row r="83" customFormat="false" ht="105" hidden="false" customHeight="true" outlineLevel="0" collapsed="false">
      <c r="A83" s="8" t="s">
        <v>263</v>
      </c>
      <c r="B83" s="9" t="s">
        <v>264</v>
      </c>
      <c r="C83" s="9" t="s">
        <v>265</v>
      </c>
      <c r="D83" s="9" t="s">
        <v>266</v>
      </c>
    </row>
  </sheetData>
  <mergeCells count="23">
    <mergeCell ref="A1:D1"/>
    <mergeCell ref="A2:D2"/>
    <mergeCell ref="A4:D4"/>
    <mergeCell ref="A5:D5"/>
    <mergeCell ref="A6:D6"/>
    <mergeCell ref="A7:D7"/>
    <mergeCell ref="A9:D9"/>
    <mergeCell ref="A17:D17"/>
    <mergeCell ref="A38:D38"/>
    <mergeCell ref="A48:D48"/>
    <mergeCell ref="A49:D49"/>
    <mergeCell ref="A50:D50"/>
    <mergeCell ref="A51:D51"/>
    <mergeCell ref="A52:D52"/>
    <mergeCell ref="A53:D53"/>
    <mergeCell ref="A55:D55"/>
    <mergeCell ref="A56:D56"/>
    <mergeCell ref="A57:D57"/>
    <mergeCell ref="A58:D58"/>
    <mergeCell ref="A59:D59"/>
    <mergeCell ref="A60:D60"/>
    <mergeCell ref="A62:D62"/>
    <mergeCell ref="A74:D7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294C"/>
    <pageSetUpPr fitToPage="true"/>
  </sheetPr>
  <dimension ref="A1:F59"/>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50"/>
    <col collapsed="false" customWidth="true" hidden="false" outlineLevel="0" max="3" min="3" style="1" width="54"/>
    <col collapsed="false" customWidth="true" hidden="false" outlineLevel="0" max="5" min="4" style="1" width="14"/>
    <col collapsed="false" customWidth="true" hidden="false" outlineLevel="0" max="6" min="6" style="1" width="62"/>
  </cols>
  <sheetData>
    <row r="1" customFormat="false" ht="24" hidden="false" customHeight="true" outlineLevel="0" collapsed="false">
      <c r="A1" s="14" t="s">
        <v>267</v>
      </c>
      <c r="B1" s="14"/>
      <c r="C1" s="14"/>
      <c r="D1" s="14"/>
      <c r="E1" s="14"/>
      <c r="F1" s="14"/>
    </row>
    <row r="2" customFormat="false" ht="30" hidden="false" customHeight="true" outlineLevel="0" collapsed="false">
      <c r="A2" s="3" t="s">
        <v>268</v>
      </c>
      <c r="B2" s="3"/>
      <c r="C2" s="3"/>
      <c r="D2" s="3"/>
      <c r="E2" s="3"/>
      <c r="F2" s="3"/>
    </row>
    <row r="3" customFormat="false" ht="13.5" hidden="false" customHeight="true" outlineLevel="0" collapsed="false"/>
    <row r="4" customFormat="false" ht="24" hidden="false" customHeight="true" outlineLevel="0" collapsed="false">
      <c r="A4" s="16" t="s">
        <v>202</v>
      </c>
      <c r="B4" s="16" t="s">
        <v>269</v>
      </c>
      <c r="C4" s="16" t="s">
        <v>270</v>
      </c>
      <c r="D4" s="16" t="s">
        <v>271</v>
      </c>
      <c r="E4" s="16" t="s">
        <v>272</v>
      </c>
      <c r="F4" s="16" t="s">
        <v>273</v>
      </c>
    </row>
    <row r="5" customFormat="false" ht="54.75" hidden="false" customHeight="true" outlineLevel="0" collapsed="false">
      <c r="A5" s="17" t="n">
        <v>1</v>
      </c>
      <c r="B5" s="9" t="s">
        <v>274</v>
      </c>
      <c r="C5" s="18" t="s">
        <v>275</v>
      </c>
      <c r="D5" s="17" t="s">
        <v>96</v>
      </c>
      <c r="E5" s="17" t="s">
        <v>276</v>
      </c>
      <c r="F5" s="18" t="s">
        <v>277</v>
      </c>
    </row>
    <row r="6" customFormat="false" ht="42" hidden="false" customHeight="true" outlineLevel="0" collapsed="false">
      <c r="A6" s="17" t="n">
        <v>2</v>
      </c>
      <c r="B6" s="9" t="s">
        <v>278</v>
      </c>
      <c r="C6" s="18" t="s">
        <v>279</v>
      </c>
      <c r="D6" s="17" t="s">
        <v>280</v>
      </c>
      <c r="E6" s="17" t="s">
        <v>276</v>
      </c>
      <c r="F6" s="18" t="s">
        <v>281</v>
      </c>
    </row>
    <row r="7" customFormat="false" ht="79.5" hidden="false" customHeight="true" outlineLevel="0" collapsed="false">
      <c r="A7" s="17" t="n">
        <v>3</v>
      </c>
      <c r="B7" s="9" t="s">
        <v>282</v>
      </c>
      <c r="C7" s="18" t="s">
        <v>283</v>
      </c>
      <c r="D7" s="17" t="s">
        <v>280</v>
      </c>
      <c r="E7" s="17" t="s">
        <v>276</v>
      </c>
      <c r="F7" s="18" t="s">
        <v>284</v>
      </c>
    </row>
    <row r="8" customFormat="false" ht="54.75" hidden="false" customHeight="true" outlineLevel="0" collapsed="false">
      <c r="A8" s="17" t="n">
        <v>4</v>
      </c>
      <c r="B8" s="9" t="s">
        <v>285</v>
      </c>
      <c r="C8" s="18" t="s">
        <v>286</v>
      </c>
      <c r="D8" s="17" t="s">
        <v>96</v>
      </c>
      <c r="E8" s="17" t="s">
        <v>276</v>
      </c>
      <c r="F8" s="18" t="s">
        <v>287</v>
      </c>
    </row>
    <row r="9" customFormat="false" ht="79.5" hidden="false" customHeight="true" outlineLevel="0" collapsed="false">
      <c r="A9" s="17" t="n">
        <v>5</v>
      </c>
      <c r="B9" s="9" t="s">
        <v>288</v>
      </c>
      <c r="C9" s="18" t="s">
        <v>289</v>
      </c>
      <c r="D9" s="17" t="s">
        <v>280</v>
      </c>
      <c r="E9" s="17" t="s">
        <v>276</v>
      </c>
      <c r="F9" s="18" t="s">
        <v>290</v>
      </c>
    </row>
    <row r="10" customFormat="false" ht="105" hidden="false" customHeight="true" outlineLevel="0" collapsed="false">
      <c r="A10" s="17" t="n">
        <v>6</v>
      </c>
      <c r="B10" s="9" t="s">
        <v>291</v>
      </c>
      <c r="C10" s="18" t="s">
        <v>292</v>
      </c>
      <c r="D10" s="17" t="s">
        <v>293</v>
      </c>
      <c r="E10" s="18" t="s">
        <v>294</v>
      </c>
      <c r="F10" s="18" t="s">
        <v>295</v>
      </c>
    </row>
    <row r="11" customFormat="false" ht="79.5" hidden="false" customHeight="true" outlineLevel="0" collapsed="false">
      <c r="A11" s="17" t="n">
        <v>7</v>
      </c>
      <c r="B11" s="9" t="s">
        <v>296</v>
      </c>
      <c r="C11" s="18" t="s">
        <v>297</v>
      </c>
      <c r="D11" s="17" t="s">
        <v>298</v>
      </c>
      <c r="E11" s="17" t="s">
        <v>276</v>
      </c>
      <c r="F11" s="18" t="s">
        <v>299</v>
      </c>
    </row>
    <row r="12" customFormat="false" ht="54.75" hidden="false" customHeight="true" outlineLevel="0" collapsed="false">
      <c r="A12" s="17" t="n">
        <v>8</v>
      </c>
      <c r="B12" s="9" t="s">
        <v>300</v>
      </c>
      <c r="C12" s="18" t="s">
        <v>301</v>
      </c>
      <c r="D12" s="17" t="s">
        <v>302</v>
      </c>
      <c r="E12" s="17" t="s">
        <v>276</v>
      </c>
      <c r="F12" s="18" t="s">
        <v>303</v>
      </c>
    </row>
    <row r="13" customFormat="false" ht="67.5" hidden="false" customHeight="true" outlineLevel="0" collapsed="false">
      <c r="A13" s="17" t="n">
        <v>9</v>
      </c>
      <c r="B13" s="9" t="s">
        <v>304</v>
      </c>
      <c r="C13" s="18" t="s">
        <v>305</v>
      </c>
      <c r="D13" s="17" t="s">
        <v>96</v>
      </c>
      <c r="E13" s="17" t="s">
        <v>276</v>
      </c>
      <c r="F13" s="18" t="s">
        <v>306</v>
      </c>
    </row>
    <row r="14" customFormat="false" ht="42" hidden="false" customHeight="true" outlineLevel="0" collapsed="false">
      <c r="A14" s="17" t="n">
        <v>10</v>
      </c>
      <c r="B14" s="9" t="s">
        <v>307</v>
      </c>
      <c r="C14" s="18" t="s">
        <v>308</v>
      </c>
      <c r="D14" s="17" t="s">
        <v>309</v>
      </c>
      <c r="E14" s="17" t="s">
        <v>310</v>
      </c>
      <c r="F14" s="18" t="s">
        <v>311</v>
      </c>
    </row>
    <row r="15" customFormat="false" ht="93" hidden="false" customHeight="true" outlineLevel="0" collapsed="false">
      <c r="A15" s="17" t="n">
        <v>11</v>
      </c>
      <c r="B15" s="9" t="s">
        <v>312</v>
      </c>
      <c r="C15" s="18" t="s">
        <v>313</v>
      </c>
      <c r="D15" s="17" t="s">
        <v>314</v>
      </c>
      <c r="E15" s="17" t="s">
        <v>310</v>
      </c>
      <c r="F15" s="18" t="s">
        <v>315</v>
      </c>
    </row>
    <row r="16" customFormat="false" ht="93" hidden="false" customHeight="true" outlineLevel="0" collapsed="false">
      <c r="A16" s="17" t="n">
        <v>12</v>
      </c>
      <c r="B16" s="9" t="s">
        <v>316</v>
      </c>
      <c r="C16" s="18" t="s">
        <v>317</v>
      </c>
      <c r="D16" s="17" t="s">
        <v>318</v>
      </c>
      <c r="E16" s="17" t="s">
        <v>276</v>
      </c>
      <c r="F16" s="18" t="s">
        <v>319</v>
      </c>
    </row>
    <row r="17" customFormat="false" ht="79.5" hidden="false" customHeight="true" outlineLevel="0" collapsed="false">
      <c r="A17" s="17" t="n">
        <v>13</v>
      </c>
      <c r="B17" s="9" t="s">
        <v>320</v>
      </c>
      <c r="C17" s="18" t="s">
        <v>321</v>
      </c>
      <c r="D17" s="17" t="s">
        <v>322</v>
      </c>
      <c r="E17" s="17" t="s">
        <v>276</v>
      </c>
      <c r="F17" s="18" t="s">
        <v>323</v>
      </c>
    </row>
    <row r="18" customFormat="false" ht="93" hidden="false" customHeight="true" outlineLevel="0" collapsed="false">
      <c r="A18" s="17" t="n">
        <v>14</v>
      </c>
      <c r="B18" s="9" t="s">
        <v>324</v>
      </c>
      <c r="C18" s="18" t="s">
        <v>325</v>
      </c>
      <c r="D18" s="17" t="s">
        <v>326</v>
      </c>
      <c r="E18" s="18" t="s">
        <v>327</v>
      </c>
      <c r="F18" s="18" t="s">
        <v>328</v>
      </c>
    </row>
    <row r="19" customFormat="false" ht="105" hidden="false" customHeight="true" outlineLevel="0" collapsed="false">
      <c r="A19" s="17" t="n">
        <v>15</v>
      </c>
      <c r="B19" s="9" t="s">
        <v>329</v>
      </c>
      <c r="C19" s="18" t="s">
        <v>330</v>
      </c>
      <c r="D19" s="17" t="s">
        <v>331</v>
      </c>
      <c r="E19" s="17" t="s">
        <v>276</v>
      </c>
      <c r="F19" s="18" t="s">
        <v>332</v>
      </c>
    </row>
    <row r="20" customFormat="false" ht="93" hidden="false" customHeight="true" outlineLevel="0" collapsed="false">
      <c r="A20" s="17" t="n">
        <v>16</v>
      </c>
      <c r="B20" s="9" t="s">
        <v>333</v>
      </c>
      <c r="C20" s="18" t="s">
        <v>334</v>
      </c>
      <c r="D20" s="17" t="s">
        <v>326</v>
      </c>
      <c r="E20" s="17" t="s">
        <v>276</v>
      </c>
      <c r="F20" s="18" t="s">
        <v>335</v>
      </c>
    </row>
    <row r="21" customFormat="false" ht="117.75" hidden="false" customHeight="true" outlineLevel="0" collapsed="false">
      <c r="A21" s="17" t="n">
        <v>17</v>
      </c>
      <c r="B21" s="9" t="s">
        <v>336</v>
      </c>
      <c r="C21" s="18" t="s">
        <v>337</v>
      </c>
      <c r="D21" s="17" t="s">
        <v>338</v>
      </c>
      <c r="E21" s="17" t="s">
        <v>276</v>
      </c>
      <c r="F21" s="18" t="s">
        <v>339</v>
      </c>
    </row>
    <row r="22" customFormat="false" ht="93" hidden="false" customHeight="true" outlineLevel="0" collapsed="false">
      <c r="A22" s="17" t="n">
        <v>18</v>
      </c>
      <c r="B22" s="9" t="s">
        <v>340</v>
      </c>
      <c r="C22" s="18" t="s">
        <v>341</v>
      </c>
      <c r="D22" s="17" t="s">
        <v>298</v>
      </c>
      <c r="E22" s="17" t="s">
        <v>342</v>
      </c>
      <c r="F22" s="18" t="s">
        <v>343</v>
      </c>
    </row>
    <row r="23" customFormat="false" ht="93" hidden="false" customHeight="true" outlineLevel="0" collapsed="false">
      <c r="A23" s="17" t="n">
        <v>19</v>
      </c>
      <c r="B23" s="9" t="s">
        <v>344</v>
      </c>
      <c r="C23" s="18" t="s">
        <v>345</v>
      </c>
      <c r="D23" s="17" t="s">
        <v>346</v>
      </c>
      <c r="E23" s="17" t="s">
        <v>342</v>
      </c>
      <c r="F23" s="18" t="s">
        <v>347</v>
      </c>
    </row>
    <row r="24" customFormat="false" ht="105" hidden="false" customHeight="true" outlineLevel="0" collapsed="false">
      <c r="A24" s="17" t="n">
        <v>20</v>
      </c>
      <c r="B24" s="9" t="s">
        <v>348</v>
      </c>
      <c r="C24" s="18" t="s">
        <v>349</v>
      </c>
      <c r="D24" s="17" t="s">
        <v>350</v>
      </c>
      <c r="E24" s="17" t="s">
        <v>276</v>
      </c>
      <c r="F24" s="18" t="s">
        <v>351</v>
      </c>
    </row>
    <row r="25" customFormat="false" ht="117.75" hidden="false" customHeight="true" outlineLevel="0" collapsed="false">
      <c r="A25" s="17" t="n">
        <v>21</v>
      </c>
      <c r="B25" s="9" t="s">
        <v>352</v>
      </c>
      <c r="C25" s="18" t="s">
        <v>353</v>
      </c>
      <c r="D25" s="17" t="s">
        <v>350</v>
      </c>
      <c r="E25" s="17" t="s">
        <v>276</v>
      </c>
      <c r="F25" s="18" t="s">
        <v>354</v>
      </c>
    </row>
    <row r="26" customFormat="false" ht="117.75" hidden="false" customHeight="true" outlineLevel="0" collapsed="false">
      <c r="A26" s="17" t="n">
        <v>22</v>
      </c>
      <c r="B26" s="9" t="s">
        <v>355</v>
      </c>
      <c r="C26" s="18" t="s">
        <v>356</v>
      </c>
      <c r="D26" s="17" t="s">
        <v>357</v>
      </c>
      <c r="E26" s="17" t="s">
        <v>276</v>
      </c>
      <c r="F26" s="18" t="s">
        <v>358</v>
      </c>
    </row>
    <row r="27" customFormat="false" ht="79.5" hidden="false" customHeight="true" outlineLevel="0" collapsed="false">
      <c r="A27" s="17" t="n">
        <v>23</v>
      </c>
      <c r="B27" s="9" t="s">
        <v>359</v>
      </c>
      <c r="C27" s="18" t="s">
        <v>360</v>
      </c>
      <c r="D27" s="17" t="s">
        <v>361</v>
      </c>
      <c r="E27" s="17" t="s">
        <v>276</v>
      </c>
      <c r="F27" s="18" t="s">
        <v>362</v>
      </c>
    </row>
    <row r="28" customFormat="false" ht="105" hidden="false" customHeight="true" outlineLevel="0" collapsed="false">
      <c r="A28" s="17" t="n">
        <v>24</v>
      </c>
      <c r="B28" s="9" t="s">
        <v>363</v>
      </c>
      <c r="C28" s="18" t="s">
        <v>364</v>
      </c>
      <c r="D28" s="17" t="s">
        <v>365</v>
      </c>
      <c r="E28" s="17" t="s">
        <v>366</v>
      </c>
      <c r="F28" s="18" t="s">
        <v>367</v>
      </c>
    </row>
    <row r="29" customFormat="false" ht="117.75" hidden="false" customHeight="true" outlineLevel="0" collapsed="false">
      <c r="A29" s="17" t="n">
        <v>25</v>
      </c>
      <c r="B29" s="9" t="s">
        <v>368</v>
      </c>
      <c r="C29" s="18" t="s">
        <v>369</v>
      </c>
      <c r="D29" s="17" t="s">
        <v>370</v>
      </c>
      <c r="E29" s="18" t="s">
        <v>371</v>
      </c>
      <c r="F29" s="18" t="s">
        <v>372</v>
      </c>
    </row>
    <row r="30" customFormat="false" ht="30" hidden="false" customHeight="true" outlineLevel="0" collapsed="false">
      <c r="A30" s="19" t="s">
        <v>373</v>
      </c>
      <c r="B30" s="19"/>
      <c r="C30" s="19"/>
      <c r="D30" s="19"/>
      <c r="E30" s="19"/>
      <c r="F30" s="19"/>
    </row>
    <row r="31" customFormat="false" ht="30" hidden="false" customHeight="true" outlineLevel="0" collapsed="false">
      <c r="A31" s="19" t="s">
        <v>374</v>
      </c>
      <c r="B31" s="19"/>
      <c r="C31" s="19"/>
      <c r="D31" s="19"/>
      <c r="E31" s="19"/>
      <c r="F31" s="19"/>
    </row>
    <row r="32" customFormat="false" ht="30" hidden="false" customHeight="true" outlineLevel="0" collapsed="false">
      <c r="A32" s="19" t="s">
        <v>375</v>
      </c>
      <c r="B32" s="19"/>
      <c r="C32" s="19"/>
      <c r="D32" s="19"/>
      <c r="E32" s="19"/>
      <c r="F32" s="19"/>
    </row>
    <row r="33" customFormat="false" ht="30" hidden="false" customHeight="true" outlineLevel="0" collapsed="false">
      <c r="A33" s="19" t="s">
        <v>376</v>
      </c>
      <c r="B33" s="19"/>
      <c r="C33" s="19"/>
      <c r="D33" s="19"/>
      <c r="E33" s="19"/>
      <c r="F33" s="19"/>
    </row>
    <row r="34" customFormat="false" ht="16.5" hidden="false" customHeight="true" outlineLevel="0" collapsed="false">
      <c r="A34" s="19" t="s">
        <v>377</v>
      </c>
      <c r="B34" s="19"/>
      <c r="C34" s="19"/>
      <c r="D34" s="19"/>
      <c r="E34" s="19"/>
      <c r="F34" s="19"/>
    </row>
    <row r="35" customFormat="false" ht="9.75" hidden="false" customHeight="true" outlineLevel="0" collapsed="false"/>
    <row r="36" customFormat="false" ht="16.5" hidden="false" customHeight="true" outlineLevel="0" collapsed="false">
      <c r="A36" s="15" t="s">
        <v>378</v>
      </c>
      <c r="B36" s="15"/>
      <c r="C36" s="15"/>
      <c r="D36" s="15"/>
      <c r="E36" s="15"/>
      <c r="F36" s="15"/>
    </row>
    <row r="37" customFormat="false" ht="24" hidden="false" customHeight="true" outlineLevel="0" collapsed="false">
      <c r="A37" s="6" t="s">
        <v>202</v>
      </c>
      <c r="B37" s="6" t="s">
        <v>269</v>
      </c>
      <c r="C37" s="6" t="s">
        <v>270</v>
      </c>
      <c r="D37" s="6" t="s">
        <v>271</v>
      </c>
      <c r="E37" s="6" t="s">
        <v>272</v>
      </c>
      <c r="F37" s="6" t="s">
        <v>273</v>
      </c>
    </row>
    <row r="38" customFormat="false" ht="93" hidden="false" customHeight="true" outlineLevel="0" collapsed="false">
      <c r="A38" s="20" t="n">
        <v>26</v>
      </c>
      <c r="B38" s="9" t="s">
        <v>379</v>
      </c>
      <c r="C38" s="9" t="s">
        <v>380</v>
      </c>
      <c r="D38" s="9" t="s">
        <v>131</v>
      </c>
      <c r="E38" s="9" t="s">
        <v>276</v>
      </c>
      <c r="F38" s="9" t="s">
        <v>381</v>
      </c>
    </row>
    <row r="39" customFormat="false" ht="67.5" hidden="false" customHeight="true" outlineLevel="0" collapsed="false">
      <c r="A39" s="20" t="n">
        <v>27</v>
      </c>
      <c r="B39" s="9" t="s">
        <v>382</v>
      </c>
      <c r="C39" s="9" t="s">
        <v>383</v>
      </c>
      <c r="D39" s="9" t="s">
        <v>384</v>
      </c>
      <c r="E39" s="9" t="s">
        <v>385</v>
      </c>
      <c r="F39" s="9" t="s">
        <v>386</v>
      </c>
    </row>
    <row r="40" customFormat="false" ht="54.75" hidden="false" customHeight="true" outlineLevel="0" collapsed="false">
      <c r="A40" s="20" t="n">
        <v>28</v>
      </c>
      <c r="B40" s="9" t="s">
        <v>387</v>
      </c>
      <c r="C40" s="9" t="s">
        <v>388</v>
      </c>
      <c r="D40" s="9" t="s">
        <v>389</v>
      </c>
      <c r="E40" s="9" t="s">
        <v>276</v>
      </c>
      <c r="F40" s="9" t="s">
        <v>390</v>
      </c>
    </row>
    <row r="41" customFormat="false" ht="142.5" hidden="false" customHeight="true" outlineLevel="0" collapsed="false">
      <c r="A41" s="20" t="n">
        <v>29</v>
      </c>
      <c r="B41" s="9" t="s">
        <v>391</v>
      </c>
      <c r="C41" s="9" t="s">
        <v>392</v>
      </c>
      <c r="D41" s="9" t="s">
        <v>393</v>
      </c>
      <c r="E41" s="9" t="s">
        <v>394</v>
      </c>
      <c r="F41" s="9" t="s">
        <v>395</v>
      </c>
    </row>
    <row r="42" customFormat="false" ht="67.5" hidden="false" customHeight="true" outlineLevel="0" collapsed="false">
      <c r="A42" s="20" t="n">
        <v>30</v>
      </c>
      <c r="B42" s="9" t="s">
        <v>396</v>
      </c>
      <c r="C42" s="9" t="s">
        <v>397</v>
      </c>
      <c r="D42" s="9" t="s">
        <v>398</v>
      </c>
      <c r="E42" s="9" t="s">
        <v>276</v>
      </c>
      <c r="F42" s="9" t="s">
        <v>399</v>
      </c>
    </row>
    <row r="43" customFormat="false" ht="79.5" hidden="false" customHeight="true" outlineLevel="0" collapsed="false">
      <c r="A43" s="20" t="n">
        <v>31</v>
      </c>
      <c r="B43" s="9" t="s">
        <v>400</v>
      </c>
      <c r="C43" s="9" t="s">
        <v>401</v>
      </c>
      <c r="D43" s="9" t="s">
        <v>402</v>
      </c>
      <c r="E43" s="9" t="s">
        <v>403</v>
      </c>
      <c r="F43" s="9" t="s">
        <v>404</v>
      </c>
    </row>
    <row r="44" customFormat="false" ht="9.75" hidden="false" customHeight="true" outlineLevel="0" collapsed="false"/>
    <row r="45" customFormat="false" ht="79.5" hidden="false" customHeight="true" outlineLevel="0" collapsed="false">
      <c r="A45" s="21" t="s">
        <v>405</v>
      </c>
    </row>
    <row r="46" customFormat="false" ht="24" hidden="false" customHeight="true" outlineLevel="0" collapsed="false">
      <c r="A46" s="6" t="s">
        <v>202</v>
      </c>
      <c r="B46" s="6" t="s">
        <v>269</v>
      </c>
      <c r="C46" s="6" t="s">
        <v>270</v>
      </c>
      <c r="D46" s="6" t="s">
        <v>271</v>
      </c>
      <c r="E46" s="6" t="s">
        <v>272</v>
      </c>
      <c r="F46" s="6" t="s">
        <v>273</v>
      </c>
    </row>
    <row r="47" customFormat="false" ht="93" hidden="false" customHeight="true" outlineLevel="0" collapsed="false">
      <c r="A47" s="20" t="n">
        <v>32</v>
      </c>
      <c r="B47" s="9" t="s">
        <v>406</v>
      </c>
      <c r="C47" s="9" t="s">
        <v>407</v>
      </c>
      <c r="D47" s="9" t="s">
        <v>120</v>
      </c>
      <c r="E47" s="9" t="s">
        <v>276</v>
      </c>
      <c r="F47" s="9" t="s">
        <v>408</v>
      </c>
    </row>
    <row r="48" customFormat="false" ht="79.5" hidden="false" customHeight="true" outlineLevel="0" collapsed="false">
      <c r="A48" s="20" t="n">
        <v>33</v>
      </c>
      <c r="B48" s="9" t="s">
        <v>409</v>
      </c>
      <c r="C48" s="9" t="s">
        <v>410</v>
      </c>
      <c r="D48" s="9" t="s">
        <v>116</v>
      </c>
      <c r="E48" s="9" t="s">
        <v>276</v>
      </c>
      <c r="F48" s="9" t="s">
        <v>411</v>
      </c>
    </row>
    <row r="49" customFormat="false" ht="79.5" hidden="false" customHeight="true" outlineLevel="0" collapsed="false">
      <c r="A49" s="20" t="n">
        <v>34</v>
      </c>
      <c r="B49" s="9" t="s">
        <v>412</v>
      </c>
      <c r="C49" s="9" t="s">
        <v>413</v>
      </c>
      <c r="D49" s="9" t="s">
        <v>143</v>
      </c>
      <c r="E49" s="9" t="s">
        <v>414</v>
      </c>
      <c r="F49" s="9" t="s">
        <v>415</v>
      </c>
    </row>
    <row r="50" customFormat="false" ht="79.5" hidden="false" customHeight="true" outlineLevel="0" collapsed="false">
      <c r="A50" s="20" t="n">
        <v>35</v>
      </c>
      <c r="B50" s="9" t="s">
        <v>416</v>
      </c>
      <c r="C50" s="9" t="s">
        <v>417</v>
      </c>
      <c r="D50" s="9" t="s">
        <v>418</v>
      </c>
      <c r="E50" s="9" t="s">
        <v>276</v>
      </c>
      <c r="F50" s="9" t="s">
        <v>419</v>
      </c>
    </row>
    <row r="51" customFormat="false" ht="9.75" hidden="false" customHeight="true" outlineLevel="0" collapsed="false"/>
    <row r="52" customFormat="false" ht="79.5" hidden="false" customHeight="true" outlineLevel="0" collapsed="false">
      <c r="A52" s="21" t="s">
        <v>420</v>
      </c>
    </row>
    <row r="53" customFormat="false" ht="24" hidden="false" customHeight="true" outlineLevel="0" collapsed="false">
      <c r="A53" s="6" t="s">
        <v>202</v>
      </c>
      <c r="B53" s="6" t="s">
        <v>269</v>
      </c>
      <c r="C53" s="6" t="s">
        <v>270</v>
      </c>
      <c r="D53" s="6" t="s">
        <v>271</v>
      </c>
      <c r="E53" s="6" t="s">
        <v>272</v>
      </c>
      <c r="F53" s="6" t="s">
        <v>273</v>
      </c>
    </row>
    <row r="54" customFormat="false" ht="79.5" hidden="false" customHeight="true" outlineLevel="0" collapsed="false">
      <c r="A54" s="20" t="n">
        <v>36</v>
      </c>
      <c r="B54" s="9" t="s">
        <v>421</v>
      </c>
      <c r="C54" s="9" t="s">
        <v>422</v>
      </c>
      <c r="D54" s="9" t="s">
        <v>423</v>
      </c>
      <c r="E54" s="9" t="s">
        <v>424</v>
      </c>
      <c r="F54" s="9" t="s">
        <v>425</v>
      </c>
    </row>
    <row r="55" customFormat="false" ht="93" hidden="false" customHeight="true" outlineLevel="0" collapsed="false">
      <c r="A55" s="20" t="n">
        <v>37</v>
      </c>
      <c r="B55" s="9" t="s">
        <v>426</v>
      </c>
      <c r="C55" s="9" t="s">
        <v>427</v>
      </c>
      <c r="D55" s="9" t="s">
        <v>428</v>
      </c>
      <c r="E55" s="9" t="s">
        <v>429</v>
      </c>
      <c r="F55" s="9" t="s">
        <v>430</v>
      </c>
    </row>
    <row r="56" customFormat="false" ht="117.75" hidden="false" customHeight="true" outlineLevel="0" collapsed="false">
      <c r="A56" s="20" t="n">
        <v>38</v>
      </c>
      <c r="B56" s="9" t="s">
        <v>431</v>
      </c>
      <c r="C56" s="9" t="s">
        <v>432</v>
      </c>
      <c r="D56" s="9" t="s">
        <v>433</v>
      </c>
      <c r="E56" s="9" t="s">
        <v>434</v>
      </c>
      <c r="F56" s="9" t="s">
        <v>435</v>
      </c>
    </row>
    <row r="57" customFormat="false" ht="93" hidden="false" customHeight="true" outlineLevel="0" collapsed="false">
      <c r="A57" s="20" t="n">
        <v>39</v>
      </c>
      <c r="B57" s="9" t="s">
        <v>436</v>
      </c>
      <c r="C57" s="9" t="s">
        <v>437</v>
      </c>
      <c r="D57" s="9" t="s">
        <v>438</v>
      </c>
      <c r="E57" s="9" t="s">
        <v>276</v>
      </c>
      <c r="F57" s="9" t="s">
        <v>439</v>
      </c>
    </row>
    <row r="58" customFormat="false" ht="93" hidden="false" customHeight="true" outlineLevel="0" collapsed="false">
      <c r="A58" s="20" t="n">
        <v>40</v>
      </c>
      <c r="B58" s="9" t="s">
        <v>440</v>
      </c>
      <c r="C58" s="9" t="s">
        <v>441</v>
      </c>
      <c r="D58" s="9" t="s">
        <v>442</v>
      </c>
      <c r="E58" s="9" t="s">
        <v>443</v>
      </c>
      <c r="F58" s="9" t="s">
        <v>444</v>
      </c>
    </row>
    <row r="59" customFormat="false" ht="79.5" hidden="false" customHeight="true" outlineLevel="0" collapsed="false">
      <c r="A59" s="20" t="n">
        <v>41</v>
      </c>
      <c r="B59" s="9" t="s">
        <v>445</v>
      </c>
      <c r="C59" s="9" t="s">
        <v>446</v>
      </c>
      <c r="D59" s="9" t="s">
        <v>447</v>
      </c>
      <c r="E59" s="9" t="s">
        <v>448</v>
      </c>
      <c r="F59" s="9" t="s">
        <v>449</v>
      </c>
    </row>
  </sheetData>
  <mergeCells count="8">
    <mergeCell ref="A1:F1"/>
    <mergeCell ref="A2:F2"/>
    <mergeCell ref="A30:F30"/>
    <mergeCell ref="A31:F31"/>
    <mergeCell ref="A32:F32"/>
    <mergeCell ref="A33:F33"/>
    <mergeCell ref="A34:F34"/>
    <mergeCell ref="A36:F36"/>
  </mergeCells>
  <printOptions headings="false" gridLines="false" gridLinesSet="true" horizontalCentered="false" verticalCentered="false"/>
  <pageMargins left="0.75" right="0.75" top="1" bottom="1" header="0.511811023622047" footer="0.511805555555556"/>
  <pageSetup paperSize="5" scale="100" fitToWidth="1" fitToHeight="0" pageOrder="downThenOver" orientation="landscape" blackAndWhite="false" draft="false" cellComments="none" horizontalDpi="300" verticalDpi="300" copies="1"/>
  <headerFooter differentFirst="false" differentOddEven="false">
    <oddHeader/>
    <oddFooter>&amp;L&amp;8 IFT Sourced Evidence Master  |  verified 09 July 2026&amp;R&amp;8 &amp;A  |  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A5195"/>
    <pageSetUpPr fitToPage="true"/>
  </sheetPr>
  <dimension ref="A1:T224"/>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s>
  <sheetData>
    <row r="1" customFormat="false" ht="17.25" hidden="false" customHeight="true" outlineLevel="0" collapsed="false">
      <c r="A1" s="22" t="s">
        <v>450</v>
      </c>
    </row>
    <row r="2" customFormat="false" ht="15" hidden="false" customHeight="true" outlineLevel="0" collapsed="false">
      <c r="A2" s="23" t="s">
        <v>451</v>
      </c>
    </row>
    <row r="4" customFormat="false" ht="15" hidden="false" customHeight="true" outlineLevel="0" collapsed="false">
      <c r="B4" s="24" t="s">
        <v>452</v>
      </c>
    </row>
    <row r="5" customFormat="false" ht="15" hidden="false" customHeight="true" outlineLevel="0" collapsed="false">
      <c r="B5" s="25" t="s">
        <v>453</v>
      </c>
    </row>
    <row r="29" customFormat="false" ht="15" hidden="false" customHeight="true" outlineLevel="0" collapsed="false">
      <c r="B29" s="24" t="s">
        <v>454</v>
      </c>
    </row>
    <row r="30" customFormat="false" ht="15" hidden="false" customHeight="true" outlineLevel="0" collapsed="false">
      <c r="B30" s="25" t="s">
        <v>455</v>
      </c>
    </row>
    <row r="54" customFormat="false" ht="15" hidden="false" customHeight="true" outlineLevel="0" collapsed="false">
      <c r="B54" s="24" t="s">
        <v>456</v>
      </c>
    </row>
    <row r="55" customFormat="false" ht="15" hidden="false" customHeight="true" outlineLevel="0" collapsed="false">
      <c r="B55" s="25" t="s">
        <v>457</v>
      </c>
    </row>
    <row r="79" customFormat="false" ht="15" hidden="false" customHeight="true" outlineLevel="0" collapsed="false">
      <c r="B79" s="24" t="s">
        <v>458</v>
      </c>
    </row>
    <row r="80" customFormat="false" ht="15" hidden="false" customHeight="true" outlineLevel="0" collapsed="false">
      <c r="B80" s="25" t="s">
        <v>459</v>
      </c>
    </row>
    <row r="104" customFormat="false" ht="15" hidden="false" customHeight="true" outlineLevel="0" collapsed="false">
      <c r="B104" s="24" t="s">
        <v>460</v>
      </c>
    </row>
    <row r="105" customFormat="false" ht="15" hidden="false" customHeight="true" outlineLevel="0" collapsed="false">
      <c r="B105" s="25" t="s">
        <v>461</v>
      </c>
    </row>
    <row r="129" customFormat="false" ht="15" hidden="false" customHeight="true" outlineLevel="0" collapsed="false">
      <c r="B129" s="24" t="s">
        <v>462</v>
      </c>
    </row>
    <row r="130" customFormat="false" ht="15" hidden="false" customHeight="true" outlineLevel="0" collapsed="false">
      <c r="B130" s="25" t="s">
        <v>463</v>
      </c>
    </row>
    <row r="154" customFormat="false" ht="15" hidden="false" customHeight="true" outlineLevel="0" collapsed="false">
      <c r="B154" s="24" t="s">
        <v>464</v>
      </c>
    </row>
    <row r="155" customFormat="false" ht="15" hidden="false" customHeight="true" outlineLevel="0" collapsed="false">
      <c r="B155" s="25" t="s">
        <v>465</v>
      </c>
    </row>
    <row r="177" customFormat="false" ht="15" hidden="false" customHeight="true" outlineLevel="0" collapsed="false">
      <c r="B177" s="24" t="s">
        <v>466</v>
      </c>
    </row>
    <row r="178" customFormat="false" ht="15" hidden="false" customHeight="true" outlineLevel="0" collapsed="false">
      <c r="B178" s="25" t="s">
        <v>467</v>
      </c>
    </row>
    <row r="200" customFormat="false" ht="15" hidden="false" customHeight="true" outlineLevel="0" collapsed="false">
      <c r="B200" s="24" t="s">
        <v>468</v>
      </c>
    </row>
    <row r="201" customFormat="false" ht="15" hidden="false" customHeight="true" outlineLevel="0" collapsed="false">
      <c r="B201" s="25" t="s">
        <v>469</v>
      </c>
    </row>
    <row r="202" customFormat="false" ht="15" hidden="false" customHeight="true" outlineLevel="0" collapsed="false">
      <c r="T202" s="26" t="s">
        <v>470</v>
      </c>
    </row>
    <row r="203" customFormat="false" ht="15" hidden="false" customHeight="true" outlineLevel="0" collapsed="false">
      <c r="S203" s="27" t="str">
        <f aca="false">MedPAC_2026_Mandated!A25</f>
        <v>Lowest quartile of transports</v>
      </c>
      <c r="T203" s="28" t="n">
        <f aca="false">MedPAC_2026_Mandated!D25</f>
        <v>2878</v>
      </c>
    </row>
    <row r="204" customFormat="false" ht="15" hidden="false" customHeight="true" outlineLevel="0" collapsed="false">
      <c r="S204" s="27" t="str">
        <f aca="false">MedPAC_2026_Mandated!A26</f>
        <v>Second quartile</v>
      </c>
      <c r="T204" s="28" t="n">
        <f aca="false">MedPAC_2026_Mandated!D26</f>
        <v>1934</v>
      </c>
    </row>
    <row r="205" customFormat="false" ht="15" hidden="false" customHeight="true" outlineLevel="0" collapsed="false">
      <c r="S205" s="27" t="str">
        <f aca="false">MedPAC_2026_Mandated!A27</f>
        <v>Third quartile</v>
      </c>
      <c r="T205" s="28" t="n">
        <f aca="false">MedPAC_2026_Mandated!D27</f>
        <v>1406</v>
      </c>
    </row>
    <row r="206" customFormat="false" ht="15" hidden="false" customHeight="true" outlineLevel="0" collapsed="false">
      <c r="S206" s="27" t="str">
        <f aca="false">MedPAC_2026_Mandated!A28</f>
        <v>Highest quartile</v>
      </c>
      <c r="T206" s="28" t="n">
        <f aca="false">MedPAC_2026_Mandated!D28</f>
        <v>918</v>
      </c>
    </row>
    <row r="223" customFormat="false" ht="15" hidden="false" customHeight="true" outlineLevel="0" collapsed="false">
      <c r="B223" s="24" t="s">
        <v>471</v>
      </c>
    </row>
    <row r="224" customFormat="false" ht="15" hidden="false" customHeight="true" outlineLevel="0" collapsed="false">
      <c r="B224" s="25" t="s">
        <v>472</v>
      </c>
    </row>
  </sheetData>
  <printOptions headings="false" gridLines="false" gridLinesSet="true" horizontalCentered="false" verticalCentered="false"/>
  <pageMargins left="0.75" right="0.75" top="1" bottom="1" header="0.511811023622047" footer="0.511805555555556"/>
  <pageSetup paperSize="9" scale="100" fitToWidth="1" fitToHeight="0" pageOrder="downThenOver" orientation="landscape" blackAndWhite="false" draft="false" cellComments="none" horizontalDpi="300" verticalDpi="300" copies="1"/>
  <headerFooter differentFirst="false" differentOddEven="false">
    <oddHeader/>
    <oddFooter>&amp;L&amp;8 IFT Sourced Evidence Master  |  verified 09 July 2026&amp;R&amp;8 &amp;A  |  page &amp;P of &amp;N</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294C"/>
    <pageSetUpPr fitToPage="true"/>
  </sheetPr>
  <dimension ref="A1:G92"/>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2" min="2" style="1" width="26"/>
    <col collapsed="false" customWidth="true" hidden="false" outlineLevel="0" max="3" min="3" style="1" width="44"/>
    <col collapsed="false" customWidth="true" hidden="false" outlineLevel="0" max="4" min="4" style="1" width="62"/>
    <col collapsed="false" customWidth="true" hidden="false" outlineLevel="0" max="5" min="5" style="1" width="58"/>
    <col collapsed="false" customWidth="true" hidden="false" outlineLevel="0" max="6" min="6" style="1" width="46"/>
    <col collapsed="false" customWidth="true" hidden="false" outlineLevel="0" max="7" min="7" style="1" width="62"/>
  </cols>
  <sheetData>
    <row r="1" customFormat="false" ht="24" hidden="false" customHeight="true" outlineLevel="0" collapsed="false">
      <c r="A1" s="14" t="s">
        <v>473</v>
      </c>
      <c r="B1" s="14"/>
      <c r="C1" s="14"/>
      <c r="D1" s="14"/>
      <c r="E1" s="14"/>
      <c r="F1" s="14"/>
      <c r="G1" s="14"/>
    </row>
    <row r="2" customFormat="false" ht="30" hidden="false" customHeight="true" outlineLevel="0" collapsed="false">
      <c r="A2" s="3" t="s">
        <v>474</v>
      </c>
      <c r="B2" s="3"/>
      <c r="C2" s="3"/>
      <c r="D2" s="3"/>
      <c r="E2" s="3"/>
      <c r="F2" s="3"/>
      <c r="G2" s="3"/>
    </row>
    <row r="3" customFormat="false" ht="13.5" hidden="false" customHeight="true" outlineLevel="0" collapsed="false"/>
    <row r="4" customFormat="false" ht="19.5" hidden="false" customHeight="true" outlineLevel="0" collapsed="false">
      <c r="A4" s="15" t="s">
        <v>475</v>
      </c>
      <c r="B4" s="15"/>
      <c r="C4" s="15"/>
      <c r="D4" s="15"/>
      <c r="E4" s="15"/>
      <c r="F4" s="15"/>
      <c r="G4" s="15"/>
    </row>
    <row r="5" customFormat="false" ht="24" hidden="false" customHeight="true" outlineLevel="0" collapsed="false">
      <c r="A5" s="16" t="s">
        <v>476</v>
      </c>
      <c r="B5" s="16" t="s">
        <v>477</v>
      </c>
      <c r="C5" s="16" t="s">
        <v>478</v>
      </c>
      <c r="D5" s="16" t="s">
        <v>479</v>
      </c>
      <c r="E5" s="16" t="s">
        <v>480</v>
      </c>
      <c r="F5" s="16" t="s">
        <v>481</v>
      </c>
      <c r="G5" s="16" t="s">
        <v>482</v>
      </c>
    </row>
    <row r="6" customFormat="false" ht="54.75" hidden="false" customHeight="true" outlineLevel="0" collapsed="false">
      <c r="A6" s="29" t="s">
        <v>483</v>
      </c>
      <c r="B6" s="30" t="n">
        <v>60</v>
      </c>
      <c r="C6" s="30" t="n">
        <v>60</v>
      </c>
      <c r="D6" s="30" t="n">
        <v>0</v>
      </c>
      <c r="E6" s="18" t="s">
        <v>484</v>
      </c>
      <c r="F6" s="18" t="s">
        <v>485</v>
      </c>
      <c r="G6" s="18" t="s">
        <v>486</v>
      </c>
    </row>
    <row r="7" customFormat="false" ht="67.5" hidden="false" customHeight="true" outlineLevel="0" collapsed="false">
      <c r="A7" s="31" t="s">
        <v>487</v>
      </c>
      <c r="B7" s="32" t="n">
        <v>68</v>
      </c>
      <c r="C7" s="32" t="n">
        <v>67</v>
      </c>
      <c r="D7" s="33" t="n">
        <v>1</v>
      </c>
      <c r="E7" s="34" t="s">
        <v>488</v>
      </c>
      <c r="F7" s="34" t="s">
        <v>489</v>
      </c>
      <c r="G7" s="34" t="s">
        <v>490</v>
      </c>
    </row>
    <row r="8" customFormat="false" ht="79.5" hidden="false" customHeight="true" outlineLevel="0" collapsed="false">
      <c r="A8" s="29" t="s">
        <v>491</v>
      </c>
      <c r="B8" s="30" t="n">
        <v>74</v>
      </c>
      <c r="C8" s="30" t="n">
        <v>73</v>
      </c>
      <c r="D8" s="35" t="n">
        <v>1</v>
      </c>
      <c r="E8" s="18" t="s">
        <v>492</v>
      </c>
      <c r="F8" s="18" t="s">
        <v>493</v>
      </c>
      <c r="G8" s="18" t="s">
        <v>494</v>
      </c>
    </row>
    <row r="9" customFormat="false" ht="42" hidden="false" customHeight="true" outlineLevel="0" collapsed="false">
      <c r="A9" s="31" t="s">
        <v>495</v>
      </c>
      <c r="B9" s="32" t="n">
        <v>4</v>
      </c>
      <c r="C9" s="32" t="n">
        <v>4</v>
      </c>
      <c r="D9" s="32" t="n">
        <v>0</v>
      </c>
      <c r="E9" s="34" t="s">
        <v>496</v>
      </c>
      <c r="F9" s="34" t="s">
        <v>497</v>
      </c>
      <c r="G9" s="34" t="s">
        <v>498</v>
      </c>
    </row>
    <row r="10" customFormat="false" ht="67.5" hidden="false" customHeight="true" outlineLevel="0" collapsed="false">
      <c r="A10" s="29" t="s">
        <v>499</v>
      </c>
      <c r="B10" s="30" t="n">
        <v>7</v>
      </c>
      <c r="C10" s="30" t="n">
        <v>7</v>
      </c>
      <c r="D10" s="30" t="n">
        <v>0</v>
      </c>
      <c r="E10" s="18" t="s">
        <v>500</v>
      </c>
      <c r="F10" s="18" t="s">
        <v>501</v>
      </c>
      <c r="G10" s="18" t="s">
        <v>502</v>
      </c>
    </row>
    <row r="11" customFormat="false" ht="42" hidden="false" customHeight="true" outlineLevel="0" collapsed="false">
      <c r="A11" s="31" t="s">
        <v>503</v>
      </c>
      <c r="B11" s="32" t="n">
        <v>6</v>
      </c>
      <c r="C11" s="32" t="n">
        <v>5</v>
      </c>
      <c r="D11" s="33" t="n">
        <v>1</v>
      </c>
      <c r="E11" s="34" t="s">
        <v>504</v>
      </c>
      <c r="F11" s="34" t="s">
        <v>505</v>
      </c>
      <c r="G11" s="36" t="s">
        <v>506</v>
      </c>
    </row>
    <row r="12" customFormat="false" ht="42" hidden="false" customHeight="true" outlineLevel="0" collapsed="false">
      <c r="A12" s="29" t="s">
        <v>507</v>
      </c>
      <c r="B12" s="30" t="n">
        <v>7</v>
      </c>
      <c r="C12" s="30" t="n">
        <v>7</v>
      </c>
      <c r="D12" s="30" t="n">
        <v>0</v>
      </c>
      <c r="E12" s="18" t="s">
        <v>508</v>
      </c>
      <c r="F12" s="18" t="s">
        <v>509</v>
      </c>
      <c r="G12" s="18" t="s">
        <v>510</v>
      </c>
    </row>
    <row r="13" customFormat="false" ht="42" hidden="false" customHeight="true" outlineLevel="0" collapsed="false">
      <c r="A13" s="31" t="s">
        <v>511</v>
      </c>
      <c r="B13" s="32" t="n">
        <v>3</v>
      </c>
      <c r="C13" s="32" t="n">
        <v>2</v>
      </c>
      <c r="D13" s="33" t="n">
        <v>1</v>
      </c>
      <c r="E13" s="34" t="s">
        <v>512</v>
      </c>
      <c r="F13" s="34" t="s">
        <v>513</v>
      </c>
      <c r="G13" s="36" t="s">
        <v>514</v>
      </c>
    </row>
    <row r="14" customFormat="false" ht="54.75" hidden="false" customHeight="true" outlineLevel="0" collapsed="false">
      <c r="A14" s="29" t="s">
        <v>515</v>
      </c>
      <c r="B14" s="30" t="n">
        <v>1</v>
      </c>
      <c r="C14" s="30" t="n">
        <v>1</v>
      </c>
      <c r="D14" s="30" t="n">
        <v>0</v>
      </c>
      <c r="E14" s="18" t="s">
        <v>516</v>
      </c>
      <c r="F14" s="18" t="s">
        <v>517</v>
      </c>
      <c r="G14" s="18" t="s">
        <v>518</v>
      </c>
    </row>
    <row r="15" customFormat="false" ht="67.5" hidden="false" customHeight="true" outlineLevel="0" collapsed="false">
      <c r="A15" s="31" t="s">
        <v>519</v>
      </c>
      <c r="B15" s="32" t="n">
        <v>1</v>
      </c>
      <c r="C15" s="32" t="n">
        <v>0</v>
      </c>
      <c r="D15" s="33" t="n">
        <v>1</v>
      </c>
      <c r="E15" s="34" t="s">
        <v>520</v>
      </c>
      <c r="F15" s="34" t="s">
        <v>521</v>
      </c>
      <c r="G15" s="36" t="s">
        <v>522</v>
      </c>
    </row>
    <row r="16" customFormat="false" ht="67.5" hidden="false" customHeight="true" outlineLevel="0" collapsed="false">
      <c r="A16" s="29" t="s">
        <v>523</v>
      </c>
      <c r="B16" s="30" t="n">
        <v>2</v>
      </c>
      <c r="C16" s="30" t="n">
        <v>2</v>
      </c>
      <c r="D16" s="30" t="n">
        <v>0</v>
      </c>
      <c r="E16" s="18" t="s">
        <v>524</v>
      </c>
      <c r="F16" s="18" t="s">
        <v>525</v>
      </c>
      <c r="G16" s="18" t="s">
        <v>526</v>
      </c>
    </row>
    <row r="17" customFormat="false" ht="54.75" hidden="false" customHeight="true" outlineLevel="0" collapsed="false">
      <c r="A17" s="29" t="s">
        <v>527</v>
      </c>
      <c r="B17" s="37" t="s">
        <v>528</v>
      </c>
      <c r="C17" s="37" t="s">
        <v>528</v>
      </c>
      <c r="D17" s="37" t="s">
        <v>528</v>
      </c>
      <c r="E17" s="18" t="s">
        <v>529</v>
      </c>
      <c r="F17" s="18" t="s">
        <v>530</v>
      </c>
      <c r="G17" s="18" t="s">
        <v>531</v>
      </c>
    </row>
    <row r="18" customFormat="false" ht="67.5" hidden="false" customHeight="true" outlineLevel="0" collapsed="false">
      <c r="A18" s="29" t="s">
        <v>532</v>
      </c>
      <c r="B18" s="37" t="s">
        <v>528</v>
      </c>
      <c r="C18" s="37" t="s">
        <v>528</v>
      </c>
      <c r="D18" s="37" t="s">
        <v>528</v>
      </c>
      <c r="E18" s="18" t="s">
        <v>533</v>
      </c>
      <c r="F18" s="18" t="s">
        <v>534</v>
      </c>
      <c r="G18" s="18" t="s">
        <v>535</v>
      </c>
    </row>
    <row r="19" customFormat="false" ht="54.75" hidden="false" customHeight="true" outlineLevel="0" collapsed="false">
      <c r="A19" s="29" t="s">
        <v>536</v>
      </c>
      <c r="B19" s="37" t="s">
        <v>528</v>
      </c>
      <c r="C19" s="37" t="s">
        <v>528</v>
      </c>
      <c r="D19" s="37" t="s">
        <v>528</v>
      </c>
      <c r="E19" s="18" t="s">
        <v>537</v>
      </c>
      <c r="F19" s="18" t="s">
        <v>538</v>
      </c>
      <c r="G19" s="18" t="s">
        <v>539</v>
      </c>
    </row>
    <row r="20" customFormat="false" ht="42" hidden="false" customHeight="true" outlineLevel="0" collapsed="false">
      <c r="A20" s="29" t="s">
        <v>540</v>
      </c>
      <c r="B20" s="37" t="s">
        <v>528</v>
      </c>
      <c r="C20" s="37" t="s">
        <v>528</v>
      </c>
      <c r="D20" s="37" t="s">
        <v>528</v>
      </c>
      <c r="E20" s="18" t="s">
        <v>541</v>
      </c>
      <c r="F20" s="18" t="s">
        <v>542</v>
      </c>
      <c r="G20" s="18" t="s">
        <v>543</v>
      </c>
    </row>
    <row r="21" customFormat="false" ht="42" hidden="false" customHeight="true" outlineLevel="0" collapsed="false">
      <c r="A21" s="29" t="s">
        <v>544</v>
      </c>
      <c r="B21" s="37" t="s">
        <v>528</v>
      </c>
      <c r="C21" s="37" t="s">
        <v>528</v>
      </c>
      <c r="D21" s="37" t="s">
        <v>528</v>
      </c>
      <c r="E21" s="18" t="s">
        <v>545</v>
      </c>
      <c r="F21" s="18" t="s">
        <v>546</v>
      </c>
      <c r="G21" s="18" t="s">
        <v>547</v>
      </c>
    </row>
    <row r="22" customFormat="false" ht="42" hidden="false" customHeight="true" outlineLevel="0" collapsed="false">
      <c r="A22" s="38" t="s">
        <v>548</v>
      </c>
      <c r="B22" s="39" t="n">
        <f aca="false">SUM(B6:B16)</f>
        <v>233</v>
      </c>
      <c r="C22" s="39" t="n">
        <f aca="false">SUM(C6:C16)</f>
        <v>228</v>
      </c>
      <c r="D22" s="35" t="n">
        <f aca="false">SUM(D6:D16)</f>
        <v>5</v>
      </c>
      <c r="E22" s="40" t="s">
        <v>549</v>
      </c>
      <c r="F22" s="41" t="n">
        <f aca="false">C22/B22</f>
        <v>0.978540772532189</v>
      </c>
      <c r="G22" s="42" t="s">
        <v>550</v>
      </c>
    </row>
    <row r="23" customFormat="false" ht="39.75" hidden="false" customHeight="true" outlineLevel="0" collapsed="false"/>
    <row r="24" customFormat="false" ht="19.5" hidden="false" customHeight="true" outlineLevel="0" collapsed="false">
      <c r="A24" s="15" t="s">
        <v>551</v>
      </c>
      <c r="B24" s="15"/>
      <c r="C24" s="15"/>
      <c r="D24" s="15"/>
      <c r="E24" s="15"/>
      <c r="F24" s="15"/>
      <c r="G24" s="15"/>
    </row>
    <row r="25" customFormat="false" ht="30" hidden="false" customHeight="true" outlineLevel="0" collapsed="false">
      <c r="A25" s="16" t="s">
        <v>202</v>
      </c>
      <c r="B25" s="16" t="s">
        <v>552</v>
      </c>
      <c r="C25" s="16" t="s">
        <v>553</v>
      </c>
      <c r="D25" s="16" t="s">
        <v>554</v>
      </c>
      <c r="E25" s="16" t="s">
        <v>555</v>
      </c>
    </row>
    <row r="26" customFormat="false" ht="30" hidden="false" customHeight="true" outlineLevel="0" collapsed="false">
      <c r="A26" s="43" t="n">
        <v>1</v>
      </c>
      <c r="B26" s="44" t="s">
        <v>556</v>
      </c>
      <c r="C26" s="44" t="s">
        <v>557</v>
      </c>
      <c r="D26" s="44" t="s">
        <v>558</v>
      </c>
      <c r="E26" s="44" t="s">
        <v>559</v>
      </c>
    </row>
    <row r="27" customFormat="false" ht="42" hidden="false" customHeight="true" outlineLevel="0" collapsed="false">
      <c r="A27" s="45" t="n">
        <v>2</v>
      </c>
      <c r="B27" s="46" t="s">
        <v>560</v>
      </c>
      <c r="C27" s="46" t="s">
        <v>561</v>
      </c>
      <c r="D27" s="46" t="s">
        <v>562</v>
      </c>
      <c r="E27" s="46" t="s">
        <v>563</v>
      </c>
    </row>
    <row r="28" customFormat="false" ht="42" hidden="false" customHeight="true" outlineLevel="0" collapsed="false">
      <c r="A28" s="43" t="n">
        <v>3</v>
      </c>
      <c r="B28" s="44" t="s">
        <v>564</v>
      </c>
      <c r="C28" s="44" t="s">
        <v>211</v>
      </c>
      <c r="D28" s="44" t="s">
        <v>565</v>
      </c>
      <c r="E28" s="44" t="s">
        <v>566</v>
      </c>
    </row>
    <row r="29" customFormat="false" ht="42" hidden="false" customHeight="true" outlineLevel="0" collapsed="false">
      <c r="A29" s="45" t="n">
        <v>4</v>
      </c>
      <c r="B29" s="46" t="s">
        <v>567</v>
      </c>
      <c r="C29" s="46" t="s">
        <v>568</v>
      </c>
      <c r="D29" s="46" t="s">
        <v>569</v>
      </c>
      <c r="E29" s="46" t="s">
        <v>570</v>
      </c>
    </row>
    <row r="30" customFormat="false" ht="30" hidden="false" customHeight="true" outlineLevel="0" collapsed="false">
      <c r="A30" s="43" t="n">
        <v>5</v>
      </c>
      <c r="B30" s="44" t="s">
        <v>571</v>
      </c>
      <c r="C30" s="44" t="s">
        <v>572</v>
      </c>
      <c r="D30" s="44" t="s">
        <v>573</v>
      </c>
      <c r="E30" s="44" t="s">
        <v>574</v>
      </c>
    </row>
    <row r="31" customFormat="false" ht="93" hidden="false" customHeight="true" outlineLevel="0" collapsed="false">
      <c r="A31" s="47" t="n">
        <v>6</v>
      </c>
      <c r="B31" s="48" t="s">
        <v>575</v>
      </c>
      <c r="C31" s="48" t="s">
        <v>576</v>
      </c>
      <c r="D31" s="18" t="s">
        <v>577</v>
      </c>
      <c r="E31" s="18" t="s">
        <v>578</v>
      </c>
    </row>
    <row r="32" customFormat="false" ht="19.5" hidden="false" customHeight="true" outlineLevel="0" collapsed="false">
      <c r="A32" s="15" t="s">
        <v>579</v>
      </c>
      <c r="B32" s="15"/>
      <c r="C32" s="15"/>
      <c r="D32" s="15"/>
      <c r="E32" s="15"/>
      <c r="F32" s="15"/>
      <c r="G32" s="15"/>
    </row>
    <row r="33" customFormat="false" ht="24" hidden="false" customHeight="true" outlineLevel="0" collapsed="false">
      <c r="A33" s="16" t="s">
        <v>580</v>
      </c>
      <c r="B33" s="16" t="s">
        <v>581</v>
      </c>
      <c r="C33" s="16" t="s">
        <v>582</v>
      </c>
      <c r="D33" s="16" t="s">
        <v>583</v>
      </c>
    </row>
    <row r="34" customFormat="false" ht="30" hidden="false" customHeight="true" outlineLevel="0" collapsed="false">
      <c r="A34" s="18" t="s">
        <v>584</v>
      </c>
      <c r="B34" s="49" t="s">
        <v>585</v>
      </c>
      <c r="C34" s="18" t="s">
        <v>586</v>
      </c>
      <c r="D34" s="18" t="s">
        <v>587</v>
      </c>
    </row>
    <row r="35" customFormat="false" ht="30" hidden="false" customHeight="true" outlineLevel="0" collapsed="false">
      <c r="A35" s="34" t="s">
        <v>588</v>
      </c>
      <c r="B35" s="50" t="s">
        <v>589</v>
      </c>
      <c r="C35" s="34" t="s">
        <v>590</v>
      </c>
      <c r="D35" s="34" t="s">
        <v>591</v>
      </c>
    </row>
    <row r="36" customFormat="false" ht="30" hidden="false" customHeight="true" outlineLevel="0" collapsed="false">
      <c r="A36" s="18" t="s">
        <v>592</v>
      </c>
      <c r="B36" s="49" t="s">
        <v>593</v>
      </c>
      <c r="C36" s="18" t="s">
        <v>594</v>
      </c>
      <c r="D36" s="18" t="s">
        <v>595</v>
      </c>
    </row>
    <row r="37" customFormat="false" ht="30" hidden="false" customHeight="true" outlineLevel="0" collapsed="false">
      <c r="A37" s="34" t="s">
        <v>596</v>
      </c>
      <c r="B37" s="50" t="s">
        <v>597</v>
      </c>
      <c r="C37" s="34" t="s">
        <v>598</v>
      </c>
      <c r="D37" s="34" t="s">
        <v>599</v>
      </c>
    </row>
    <row r="38" customFormat="false" ht="30" hidden="false" customHeight="true" outlineLevel="0" collapsed="false">
      <c r="A38" s="18" t="s">
        <v>600</v>
      </c>
      <c r="B38" s="49" t="s">
        <v>601</v>
      </c>
      <c r="C38" s="18" t="s">
        <v>602</v>
      </c>
      <c r="D38" s="18" t="s">
        <v>603</v>
      </c>
    </row>
    <row r="39" customFormat="false" ht="30" hidden="false" customHeight="true" outlineLevel="0" collapsed="false">
      <c r="A39" s="34" t="s">
        <v>604</v>
      </c>
      <c r="B39" s="50" t="s">
        <v>605</v>
      </c>
      <c r="C39" s="34" t="s">
        <v>606</v>
      </c>
      <c r="D39" s="34" t="s">
        <v>607</v>
      </c>
    </row>
    <row r="40" customFormat="false" ht="30" hidden="false" customHeight="true" outlineLevel="0" collapsed="false">
      <c r="A40" s="18" t="s">
        <v>608</v>
      </c>
      <c r="B40" s="49" t="s">
        <v>609</v>
      </c>
      <c r="C40" s="18" t="s">
        <v>610</v>
      </c>
      <c r="D40" s="18" t="s">
        <v>611</v>
      </c>
    </row>
    <row r="41" customFormat="false" ht="30" hidden="false" customHeight="true" outlineLevel="0" collapsed="false">
      <c r="A41" s="34" t="s">
        <v>612</v>
      </c>
      <c r="B41" s="50" t="s">
        <v>613</v>
      </c>
      <c r="C41" s="34" t="s">
        <v>610</v>
      </c>
      <c r="D41" s="34" t="s">
        <v>614</v>
      </c>
    </row>
    <row r="42" customFormat="false" ht="30" hidden="false" customHeight="true" outlineLevel="0" collapsed="false">
      <c r="A42" s="18" t="s">
        <v>615</v>
      </c>
      <c r="B42" s="49" t="s">
        <v>616</v>
      </c>
      <c r="C42" s="18" t="s">
        <v>617</v>
      </c>
      <c r="D42" s="18" t="s">
        <v>618</v>
      </c>
    </row>
    <row r="43" customFormat="false" ht="30" hidden="false" customHeight="true" outlineLevel="0" collapsed="false">
      <c r="A43" s="34" t="s">
        <v>619</v>
      </c>
      <c r="B43" s="50" t="s">
        <v>620</v>
      </c>
      <c r="C43" s="34" t="s">
        <v>621</v>
      </c>
      <c r="D43" s="34" t="s">
        <v>622</v>
      </c>
    </row>
    <row r="44" customFormat="false" ht="15" hidden="false" customHeight="true" outlineLevel="0" collapsed="false"/>
    <row r="45" customFormat="false" ht="19.5" hidden="false" customHeight="true" outlineLevel="0" collapsed="false">
      <c r="A45" s="15" t="s">
        <v>623</v>
      </c>
      <c r="B45" s="15"/>
      <c r="C45" s="15"/>
      <c r="D45" s="15"/>
      <c r="E45" s="15"/>
      <c r="F45" s="15"/>
      <c r="G45" s="15"/>
    </row>
    <row r="46" customFormat="false" ht="16.5" hidden="false" customHeight="true" outlineLevel="0" collapsed="false">
      <c r="A46" s="51" t="s">
        <v>624</v>
      </c>
      <c r="B46" s="51"/>
      <c r="C46" s="51"/>
      <c r="D46" s="51"/>
      <c r="E46" s="51"/>
      <c r="F46" s="51"/>
      <c r="G46" s="51"/>
    </row>
    <row r="47" customFormat="false" ht="30" hidden="false" customHeight="true" outlineLevel="0" collapsed="false">
      <c r="A47" s="51" t="s">
        <v>625</v>
      </c>
      <c r="B47" s="51"/>
      <c r="C47" s="51"/>
      <c r="D47" s="51"/>
      <c r="E47" s="51"/>
      <c r="F47" s="51"/>
      <c r="G47" s="51"/>
    </row>
    <row r="48" customFormat="false" ht="16.5" hidden="false" customHeight="true" outlineLevel="0" collapsed="false">
      <c r="A48" s="51" t="s">
        <v>626</v>
      </c>
      <c r="B48" s="51"/>
      <c r="C48" s="51"/>
      <c r="D48" s="51"/>
      <c r="E48" s="51"/>
      <c r="F48" s="51"/>
      <c r="G48" s="51"/>
    </row>
    <row r="49" customFormat="false" ht="16.5" hidden="false" customHeight="true" outlineLevel="0" collapsed="false">
      <c r="A49" s="51" t="s">
        <v>627</v>
      </c>
      <c r="B49" s="51"/>
      <c r="C49" s="51"/>
      <c r="D49" s="51"/>
      <c r="E49" s="51"/>
      <c r="F49" s="51"/>
      <c r="G49" s="51"/>
    </row>
    <row r="50" customFormat="false" ht="16.5" hidden="false" customHeight="true" outlineLevel="0" collapsed="false">
      <c r="A50" s="51" t="s">
        <v>628</v>
      </c>
      <c r="B50" s="51"/>
      <c r="C50" s="51"/>
      <c r="D50" s="51"/>
      <c r="E50" s="51"/>
      <c r="F50" s="51"/>
      <c r="G50" s="51"/>
    </row>
    <row r="51" customFormat="false" ht="9.75" hidden="false" customHeight="true" outlineLevel="0" collapsed="false"/>
    <row r="52" customFormat="false" ht="19.5" hidden="false" customHeight="true" outlineLevel="0" collapsed="false">
      <c r="A52" s="15" t="s">
        <v>629</v>
      </c>
      <c r="B52" s="15"/>
      <c r="C52" s="15"/>
      <c r="D52" s="15"/>
      <c r="E52" s="15"/>
      <c r="F52" s="15"/>
      <c r="G52" s="15"/>
    </row>
    <row r="53" customFormat="false" ht="30" hidden="false" customHeight="true" outlineLevel="0" collapsed="false">
      <c r="A53" s="52" t="s">
        <v>630</v>
      </c>
      <c r="B53" s="52"/>
      <c r="C53" s="52"/>
      <c r="D53" s="52"/>
      <c r="E53" s="52"/>
      <c r="F53" s="52"/>
      <c r="G53" s="52"/>
    </row>
    <row r="54" customFormat="false" ht="9.75" hidden="false" customHeight="true" outlineLevel="0" collapsed="false"/>
    <row r="55" customFormat="false" ht="30" hidden="false" customHeight="true" outlineLevel="0" collapsed="false">
      <c r="A55" s="19" t="s">
        <v>631</v>
      </c>
      <c r="B55" s="19"/>
      <c r="C55" s="19"/>
      <c r="D55" s="19"/>
      <c r="E55" s="19"/>
      <c r="F55" s="19"/>
      <c r="G55" s="19"/>
    </row>
    <row r="56" customFormat="false" ht="9.75" hidden="false" customHeight="true" outlineLevel="0" collapsed="false"/>
    <row r="57" customFormat="false" ht="16.5" hidden="false" customHeight="true" outlineLevel="0" collapsed="false">
      <c r="A57" s="15" t="s">
        <v>632</v>
      </c>
      <c r="B57" s="15"/>
      <c r="C57" s="15"/>
      <c r="D57" s="15"/>
      <c r="E57" s="15"/>
      <c r="F57" s="15"/>
      <c r="G57" s="15"/>
    </row>
    <row r="58" customFormat="false" ht="24" hidden="false" customHeight="true" outlineLevel="0" collapsed="false">
      <c r="A58" s="6" t="s">
        <v>476</v>
      </c>
      <c r="B58" s="6" t="s">
        <v>633</v>
      </c>
      <c r="C58" s="6" t="s">
        <v>482</v>
      </c>
    </row>
    <row r="59" customFormat="false" ht="93" hidden="false" customHeight="true" outlineLevel="0" collapsed="false">
      <c r="A59" s="9" t="s">
        <v>634</v>
      </c>
      <c r="B59" s="9" t="s">
        <v>635</v>
      </c>
      <c r="C59" s="9" t="s">
        <v>636</v>
      </c>
    </row>
    <row r="60" customFormat="false" ht="93" hidden="false" customHeight="true" outlineLevel="0" collapsed="false">
      <c r="A60" s="9" t="s">
        <v>180</v>
      </c>
      <c r="B60" s="9" t="s">
        <v>637</v>
      </c>
      <c r="C60" s="9" t="s">
        <v>638</v>
      </c>
    </row>
    <row r="61" customFormat="false" ht="67.5" hidden="false" customHeight="true" outlineLevel="0" collapsed="false">
      <c r="A61" s="9" t="s">
        <v>639</v>
      </c>
      <c r="B61" s="9" t="s">
        <v>640</v>
      </c>
      <c r="C61" s="9" t="s">
        <v>641</v>
      </c>
    </row>
    <row r="62" customFormat="false" ht="42" hidden="false" customHeight="true" outlineLevel="0" collapsed="false">
      <c r="A62" s="9" t="s">
        <v>642</v>
      </c>
      <c r="B62" s="9" t="s">
        <v>643</v>
      </c>
      <c r="C62" s="9" t="s">
        <v>644</v>
      </c>
    </row>
    <row r="63" customFormat="false" ht="42" hidden="false" customHeight="true" outlineLevel="0" collapsed="false">
      <c r="A63" s="9" t="s">
        <v>645</v>
      </c>
      <c r="B63" s="9" t="s">
        <v>646</v>
      </c>
      <c r="C63" s="9" t="s">
        <v>647</v>
      </c>
    </row>
    <row r="64" customFormat="false" ht="54.75" hidden="false" customHeight="true" outlineLevel="0" collapsed="false">
      <c r="A64" s="9" t="s">
        <v>648</v>
      </c>
      <c r="B64" s="9" t="s">
        <v>649</v>
      </c>
      <c r="C64" s="9" t="s">
        <v>650</v>
      </c>
    </row>
    <row r="65" customFormat="false" ht="42" hidden="false" customHeight="true" outlineLevel="0" collapsed="false">
      <c r="A65" s="9" t="s">
        <v>651</v>
      </c>
      <c r="B65" s="9" t="s">
        <v>652</v>
      </c>
      <c r="C65" s="9" t="s">
        <v>653</v>
      </c>
    </row>
    <row r="66" customFormat="false" ht="42" hidden="false" customHeight="true" outlineLevel="0" collapsed="false">
      <c r="A66" s="9" t="s">
        <v>654</v>
      </c>
      <c r="B66" s="9" t="s">
        <v>655</v>
      </c>
      <c r="C66" s="9" t="s">
        <v>656</v>
      </c>
    </row>
    <row r="67" customFormat="false" ht="105" hidden="false" customHeight="true" outlineLevel="0" collapsed="false">
      <c r="A67" s="9" t="s">
        <v>657</v>
      </c>
      <c r="B67" s="9" t="s">
        <v>658</v>
      </c>
      <c r="C67" s="9" t="s">
        <v>659</v>
      </c>
    </row>
    <row r="68" customFormat="false" ht="9.75" hidden="false" customHeight="true" outlineLevel="0" collapsed="false"/>
    <row r="69" customFormat="false" ht="19.5" hidden="false" customHeight="true" outlineLevel="0" collapsed="false">
      <c r="A69" s="15" t="s">
        <v>660</v>
      </c>
      <c r="B69" s="15"/>
      <c r="C69" s="15"/>
      <c r="D69" s="15"/>
      <c r="E69" s="15"/>
      <c r="F69" s="15"/>
      <c r="G69" s="15"/>
    </row>
    <row r="70" customFormat="false" ht="24" hidden="false" customHeight="true" outlineLevel="0" collapsed="false">
      <c r="A70" s="6" t="s">
        <v>476</v>
      </c>
      <c r="B70" s="6" t="s">
        <v>633</v>
      </c>
      <c r="C70" s="6" t="s">
        <v>482</v>
      </c>
    </row>
    <row r="71" customFormat="false" ht="54.75" hidden="false" customHeight="true" outlineLevel="0" collapsed="false">
      <c r="A71" s="9" t="s">
        <v>661</v>
      </c>
      <c r="B71" s="9" t="s">
        <v>662</v>
      </c>
      <c r="C71" s="9" t="s">
        <v>663</v>
      </c>
    </row>
    <row r="72" customFormat="false" ht="79.5" hidden="false" customHeight="true" outlineLevel="0" collapsed="false">
      <c r="A72" s="9" t="s">
        <v>664</v>
      </c>
      <c r="B72" s="9" t="s">
        <v>665</v>
      </c>
      <c r="C72" s="9" t="s">
        <v>666</v>
      </c>
    </row>
    <row r="73" customFormat="false" ht="79.5" hidden="false" customHeight="true" outlineLevel="0" collapsed="false">
      <c r="A73" s="9" t="s">
        <v>667</v>
      </c>
      <c r="B73" s="9" t="s">
        <v>668</v>
      </c>
      <c r="C73" s="9" t="s">
        <v>669</v>
      </c>
    </row>
    <row r="74" customFormat="false" ht="54.75" hidden="false" customHeight="true" outlineLevel="0" collapsed="false">
      <c r="A74" s="9" t="s">
        <v>670</v>
      </c>
      <c r="B74" s="9" t="s">
        <v>671</v>
      </c>
      <c r="C74" s="9" t="s">
        <v>672</v>
      </c>
    </row>
    <row r="75" customFormat="false" ht="9.75" hidden="false" customHeight="true" outlineLevel="0" collapsed="false"/>
    <row r="76" customFormat="false" ht="19.5" hidden="false" customHeight="true" outlineLevel="0" collapsed="false">
      <c r="A76" s="15" t="s">
        <v>673</v>
      </c>
      <c r="B76" s="15"/>
      <c r="C76" s="15"/>
      <c r="D76" s="15"/>
      <c r="E76" s="15"/>
      <c r="F76" s="15"/>
      <c r="G76" s="15"/>
    </row>
    <row r="77" customFormat="false" ht="24" hidden="false" customHeight="true" outlineLevel="0" collapsed="false">
      <c r="A77" s="6" t="s">
        <v>476</v>
      </c>
      <c r="B77" s="6" t="s">
        <v>633</v>
      </c>
      <c r="C77" s="6" t="s">
        <v>482</v>
      </c>
    </row>
    <row r="78" customFormat="false" ht="105" hidden="false" customHeight="true" outlineLevel="0" collapsed="false">
      <c r="A78" s="9" t="s">
        <v>674</v>
      </c>
      <c r="B78" s="9" t="s">
        <v>675</v>
      </c>
      <c r="C78" s="9" t="s">
        <v>676</v>
      </c>
    </row>
    <row r="79" customFormat="false" ht="79.5" hidden="false" customHeight="true" outlineLevel="0" collapsed="false">
      <c r="A79" s="9" t="s">
        <v>677</v>
      </c>
      <c r="B79" s="9" t="s">
        <v>678</v>
      </c>
      <c r="C79" s="9" t="s">
        <v>679</v>
      </c>
    </row>
    <row r="80" customFormat="false" ht="42" hidden="false" customHeight="true" outlineLevel="0" collapsed="false">
      <c r="A80" s="9" t="s">
        <v>680</v>
      </c>
      <c r="B80" s="9" t="s">
        <v>681</v>
      </c>
      <c r="C80" s="9" t="s">
        <v>682</v>
      </c>
    </row>
    <row r="81" customFormat="false" ht="67.5" hidden="false" customHeight="true" outlineLevel="0" collapsed="false">
      <c r="A81" s="9" t="s">
        <v>683</v>
      </c>
      <c r="B81" s="9" t="s">
        <v>684</v>
      </c>
      <c r="C81" s="9" t="s">
        <v>685</v>
      </c>
    </row>
    <row r="82" customFormat="false" ht="67.5" hidden="false" customHeight="true" outlineLevel="0" collapsed="false">
      <c r="A82" s="9" t="s">
        <v>686</v>
      </c>
      <c r="B82" s="9" t="s">
        <v>687</v>
      </c>
      <c r="C82" s="9" t="s">
        <v>688</v>
      </c>
    </row>
    <row r="83" customFormat="false" ht="67.5" hidden="false" customHeight="true" outlineLevel="0" collapsed="false">
      <c r="A83" s="9" t="s">
        <v>689</v>
      </c>
      <c r="B83" s="9" t="s">
        <v>690</v>
      </c>
      <c r="C83" s="9" t="s">
        <v>691</v>
      </c>
    </row>
    <row r="84" customFormat="false" ht="54.75" hidden="false" customHeight="true" outlineLevel="0" collapsed="false">
      <c r="A84" s="9" t="s">
        <v>692</v>
      </c>
      <c r="B84" s="9" t="s">
        <v>693</v>
      </c>
      <c r="C84" s="9" t="s">
        <v>694</v>
      </c>
    </row>
    <row r="85" customFormat="false" ht="93" hidden="false" customHeight="true" outlineLevel="0" collapsed="false">
      <c r="A85" s="9" t="s">
        <v>695</v>
      </c>
      <c r="B85" s="9" t="s">
        <v>696</v>
      </c>
      <c r="C85" s="9" t="s">
        <v>697</v>
      </c>
    </row>
    <row r="86" customFormat="false" ht="79.5" hidden="false" customHeight="true" outlineLevel="0" collapsed="false">
      <c r="A86" s="8" t="s">
        <v>698</v>
      </c>
      <c r="B86" s="9" t="s">
        <v>699</v>
      </c>
      <c r="C86" s="9" t="s">
        <v>700</v>
      </c>
    </row>
    <row r="87" customFormat="false" ht="142.5" hidden="false" customHeight="true" outlineLevel="0" collapsed="false">
      <c r="A87" s="8" t="s">
        <v>701</v>
      </c>
      <c r="B87" s="9" t="s">
        <v>702</v>
      </c>
      <c r="C87" s="9" t="s">
        <v>703</v>
      </c>
    </row>
    <row r="88" customFormat="false" ht="142.5" hidden="false" customHeight="true" outlineLevel="0" collapsed="false">
      <c r="A88" s="8" t="s">
        <v>704</v>
      </c>
      <c r="B88" s="9" t="s">
        <v>705</v>
      </c>
      <c r="C88" s="9" t="s">
        <v>706</v>
      </c>
    </row>
    <row r="89" customFormat="false" ht="142.5" hidden="false" customHeight="true" outlineLevel="0" collapsed="false">
      <c r="A89" s="8" t="s">
        <v>707</v>
      </c>
      <c r="B89" s="9" t="s">
        <v>708</v>
      </c>
      <c r="C89" s="9" t="s">
        <v>709</v>
      </c>
    </row>
    <row r="90" customFormat="false" ht="219" hidden="false" customHeight="true" outlineLevel="0" collapsed="false">
      <c r="A90" s="8" t="s">
        <v>710</v>
      </c>
      <c r="B90" s="9" t="s">
        <v>711</v>
      </c>
      <c r="C90" s="9" t="s">
        <v>712</v>
      </c>
    </row>
    <row r="91" customFormat="false" ht="168" hidden="false" customHeight="true" outlineLevel="0" collapsed="false">
      <c r="A91" s="8" t="s">
        <v>713</v>
      </c>
      <c r="B91" s="9" t="s">
        <v>714</v>
      </c>
      <c r="C91" s="9" t="s">
        <v>715</v>
      </c>
    </row>
    <row r="92" customFormat="false" ht="57.75" hidden="false" customHeight="true" outlineLevel="0" collapsed="false">
      <c r="A92" s="53" t="s">
        <v>716</v>
      </c>
      <c r="B92" s="11" t="s">
        <v>717</v>
      </c>
      <c r="C92" s="11" t="s">
        <v>718</v>
      </c>
    </row>
  </sheetData>
  <mergeCells count="17">
    <mergeCell ref="A1:G1"/>
    <mergeCell ref="A2:G2"/>
    <mergeCell ref="A4:G4"/>
    <mergeCell ref="A24:G24"/>
    <mergeCell ref="A32:G32"/>
    <mergeCell ref="A45:G45"/>
    <mergeCell ref="A46:G46"/>
    <mergeCell ref="A47:G47"/>
    <mergeCell ref="A48:G48"/>
    <mergeCell ref="A49:G49"/>
    <mergeCell ref="A50:G50"/>
    <mergeCell ref="A52:G52"/>
    <mergeCell ref="A53:G53"/>
    <mergeCell ref="A55:G55"/>
    <mergeCell ref="A57:G57"/>
    <mergeCell ref="A69:G69"/>
    <mergeCell ref="A76:G76"/>
  </mergeCells>
  <printOptions headings="false" gridLines="false" gridLinesSet="true" horizontalCentered="false" verticalCentered="false"/>
  <pageMargins left="0.75" right="0.75" top="1" bottom="1" header="0.511811023622047" footer="0.511805555555556"/>
  <pageSetup paperSize="1" scale="100" fitToWidth="1" fitToHeight="0" pageOrder="downThenOver" orientation="landscape" blackAndWhite="false" draft="false" cellComments="none" horizontalDpi="300" verticalDpi="300" copies="1"/>
  <headerFooter differentFirst="false" differentOddEven="false">
    <oddHeader/>
    <oddFooter>&amp;L&amp;8 IFT Sourced Evidence Master  |  verified 09 July 2026&amp;R&amp;8 &amp;A  |  page &amp;P of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294C"/>
    <pageSetUpPr fitToPage="true"/>
  </sheetPr>
  <dimension ref="A1:K18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52"/>
    <col collapsed="false" customWidth="true" hidden="false" outlineLevel="0" max="3" min="3" style="1" width="7"/>
    <col collapsed="false" customWidth="true" hidden="false" outlineLevel="0" max="4" min="4" style="1" width="17"/>
    <col collapsed="false" customWidth="true" hidden="false" outlineLevel="0" max="5" min="5" style="1" width="14"/>
    <col collapsed="false" customWidth="true" hidden="false" outlineLevel="0" max="6" min="6" style="1" width="10"/>
    <col collapsed="false" customWidth="true" hidden="false" outlineLevel="0" max="7" min="7" style="1" width="6"/>
    <col collapsed="false" customWidth="true" hidden="false" outlineLevel="0" max="8" min="8" style="1" width="15"/>
    <col collapsed="false" customWidth="true" hidden="false" outlineLevel="0" max="9" min="9" style="1" width="36"/>
    <col collapsed="false" customWidth="true" hidden="false" outlineLevel="0" max="10" min="10" style="1" width="23"/>
    <col collapsed="false" customWidth="true" hidden="false" outlineLevel="0" max="11" min="11" style="1" width="62"/>
  </cols>
  <sheetData>
    <row r="1" customFormat="false" ht="24" hidden="false" customHeight="true" outlineLevel="0" collapsed="false">
      <c r="A1" s="14" t="s">
        <v>719</v>
      </c>
      <c r="B1" s="14"/>
      <c r="C1" s="14"/>
      <c r="D1" s="14"/>
      <c r="E1" s="14"/>
      <c r="F1" s="14"/>
      <c r="G1" s="14"/>
      <c r="H1" s="14"/>
      <c r="I1" s="14"/>
      <c r="J1" s="14"/>
      <c r="K1" s="14"/>
    </row>
    <row r="2" customFormat="false" ht="30" hidden="false" customHeight="true" outlineLevel="0" collapsed="false">
      <c r="A2" s="3" t="s">
        <v>720</v>
      </c>
      <c r="B2" s="3"/>
      <c r="C2" s="3"/>
      <c r="D2" s="3"/>
      <c r="E2" s="3"/>
      <c r="F2" s="3"/>
      <c r="G2" s="3"/>
      <c r="H2" s="3"/>
      <c r="I2" s="3"/>
      <c r="J2" s="3"/>
      <c r="K2" s="3"/>
    </row>
    <row r="3" customFormat="false" ht="13.5" hidden="false" customHeight="true" outlineLevel="0" collapsed="false"/>
    <row r="4" customFormat="false" ht="24" hidden="false" customHeight="true" outlineLevel="0" collapsed="false">
      <c r="A4" s="16" t="s">
        <v>721</v>
      </c>
      <c r="B4" s="16" t="s">
        <v>722</v>
      </c>
      <c r="C4" s="16" t="s">
        <v>723</v>
      </c>
      <c r="D4" s="16" t="s">
        <v>581</v>
      </c>
      <c r="E4" s="16" t="s">
        <v>724</v>
      </c>
      <c r="F4" s="16" t="s">
        <v>725</v>
      </c>
      <c r="G4" s="16" t="s">
        <v>726</v>
      </c>
      <c r="H4" s="16" t="s">
        <v>727</v>
      </c>
      <c r="I4" s="16" t="s">
        <v>728</v>
      </c>
      <c r="J4" s="16" t="s">
        <v>729</v>
      </c>
      <c r="K4" s="16" t="s">
        <v>730</v>
      </c>
    </row>
    <row r="5" customFormat="false" ht="30" hidden="false" customHeight="true" outlineLevel="0" collapsed="false">
      <c r="A5" s="54" t="s">
        <v>731</v>
      </c>
      <c r="B5" s="55" t="s">
        <v>732</v>
      </c>
      <c r="C5" s="56" t="s">
        <v>733</v>
      </c>
      <c r="D5" s="57" t="n">
        <f aca="false">Acute_IFT_Series!B20</f>
        <v>2311549</v>
      </c>
      <c r="E5" s="58" t="s">
        <v>734</v>
      </c>
      <c r="F5" s="56" t="s">
        <v>735</v>
      </c>
      <c r="G5" s="56" t="s">
        <v>736</v>
      </c>
      <c r="H5" s="58" t="s">
        <v>737</v>
      </c>
      <c r="I5" s="55" t="s">
        <v>738</v>
      </c>
      <c r="J5" s="58" t="s">
        <v>93</v>
      </c>
      <c r="K5" s="55" t="s">
        <v>739</v>
      </c>
    </row>
    <row r="6" customFormat="false" ht="30" hidden="false" customHeight="true" outlineLevel="0" collapsed="false">
      <c r="A6" s="59" t="s">
        <v>740</v>
      </c>
      <c r="B6" s="60" t="s">
        <v>732</v>
      </c>
      <c r="C6" s="61" t="s">
        <v>741</v>
      </c>
      <c r="D6" s="62" t="n">
        <f aca="false">Acute_IFT_Series!B21</f>
        <v>2554379</v>
      </c>
      <c r="E6" s="63" t="s">
        <v>734</v>
      </c>
      <c r="F6" s="61" t="s">
        <v>735</v>
      </c>
      <c r="G6" s="61" t="s">
        <v>736</v>
      </c>
      <c r="H6" s="63" t="s">
        <v>737</v>
      </c>
      <c r="I6" s="60" t="s">
        <v>738</v>
      </c>
      <c r="J6" s="63" t="s">
        <v>93</v>
      </c>
      <c r="K6" s="60" t="s">
        <v>742</v>
      </c>
    </row>
    <row r="7" customFormat="false" ht="30" hidden="false" customHeight="true" outlineLevel="0" collapsed="false">
      <c r="A7" s="54" t="s">
        <v>743</v>
      </c>
      <c r="B7" s="55" t="s">
        <v>744</v>
      </c>
      <c r="C7" s="56" t="s">
        <v>733</v>
      </c>
      <c r="D7" s="57" t="n">
        <f aca="false">Acute_IFT_Series!C20</f>
        <v>617724</v>
      </c>
      <c r="E7" s="58" t="s">
        <v>734</v>
      </c>
      <c r="F7" s="56" t="s">
        <v>735</v>
      </c>
      <c r="G7" s="56" t="s">
        <v>736</v>
      </c>
      <c r="H7" s="58" t="s">
        <v>100</v>
      </c>
      <c r="I7" s="55" t="s">
        <v>745</v>
      </c>
      <c r="J7" s="58" t="s">
        <v>93</v>
      </c>
      <c r="K7" s="55" t="s">
        <v>746</v>
      </c>
    </row>
    <row r="8" customFormat="false" ht="30" hidden="false" customHeight="true" outlineLevel="0" collapsed="false">
      <c r="A8" s="59" t="s">
        <v>747</v>
      </c>
      <c r="B8" s="60" t="s">
        <v>744</v>
      </c>
      <c r="C8" s="61" t="s">
        <v>741</v>
      </c>
      <c r="D8" s="62" t="n">
        <f aca="false">Acute_IFT_Series!C21</f>
        <v>630765</v>
      </c>
      <c r="E8" s="63" t="s">
        <v>734</v>
      </c>
      <c r="F8" s="61" t="s">
        <v>735</v>
      </c>
      <c r="G8" s="61" t="s">
        <v>736</v>
      </c>
      <c r="H8" s="63" t="s">
        <v>100</v>
      </c>
      <c r="I8" s="60" t="s">
        <v>745</v>
      </c>
      <c r="J8" s="63" t="s">
        <v>93</v>
      </c>
      <c r="K8" s="60" t="s">
        <v>748</v>
      </c>
    </row>
    <row r="9" customFormat="false" ht="30" hidden="false" customHeight="true" outlineLevel="0" collapsed="false">
      <c r="A9" s="54" t="s">
        <v>749</v>
      </c>
      <c r="B9" s="55" t="s">
        <v>750</v>
      </c>
      <c r="C9" s="56" t="s">
        <v>733</v>
      </c>
      <c r="D9" s="57" t="n">
        <f aca="false">Acute_IFT_Series!D20</f>
        <v>2929273</v>
      </c>
      <c r="E9" s="58" t="s">
        <v>734</v>
      </c>
      <c r="F9" s="56" t="s">
        <v>751</v>
      </c>
      <c r="G9" s="56" t="s">
        <v>736</v>
      </c>
      <c r="H9" s="58" t="s">
        <v>96</v>
      </c>
      <c r="I9" s="55" t="s">
        <v>752</v>
      </c>
      <c r="J9" s="58" t="s">
        <v>93</v>
      </c>
      <c r="K9" s="55" t="s">
        <v>753</v>
      </c>
    </row>
    <row r="10" customFormat="false" ht="30" hidden="false" customHeight="true" outlineLevel="0" collapsed="false">
      <c r="A10" s="59" t="s">
        <v>754</v>
      </c>
      <c r="B10" s="60" t="s">
        <v>750</v>
      </c>
      <c r="C10" s="61" t="s">
        <v>741</v>
      </c>
      <c r="D10" s="62" t="n">
        <f aca="false">Acute_IFT_Series!D21</f>
        <v>3185144</v>
      </c>
      <c r="E10" s="63" t="s">
        <v>734</v>
      </c>
      <c r="F10" s="61" t="s">
        <v>751</v>
      </c>
      <c r="G10" s="61" t="s">
        <v>736</v>
      </c>
      <c r="H10" s="63" t="s">
        <v>96</v>
      </c>
      <c r="I10" s="60" t="s">
        <v>755</v>
      </c>
      <c r="J10" s="63" t="s">
        <v>93</v>
      </c>
      <c r="K10" s="60" t="s">
        <v>756</v>
      </c>
    </row>
    <row r="11" customFormat="false" ht="42" hidden="false" customHeight="true" outlineLevel="0" collapsed="false">
      <c r="A11" s="54" t="s">
        <v>757</v>
      </c>
      <c r="B11" s="55" t="s">
        <v>758</v>
      </c>
      <c r="C11" s="56" t="s">
        <v>741</v>
      </c>
      <c r="D11" s="64" t="n">
        <f aca="false">AVERAGE(Acute_IFT_Series!D17:D21)</f>
        <v>3061155.8</v>
      </c>
      <c r="E11" s="58" t="s">
        <v>759</v>
      </c>
      <c r="F11" s="56" t="s">
        <v>751</v>
      </c>
      <c r="G11" s="56" t="s">
        <v>736</v>
      </c>
      <c r="H11" s="58" t="s">
        <v>96</v>
      </c>
      <c r="I11" s="55" t="s">
        <v>760</v>
      </c>
      <c r="J11" s="58" t="s">
        <v>93</v>
      </c>
      <c r="K11" s="55" t="s">
        <v>761</v>
      </c>
    </row>
    <row r="12" customFormat="false" ht="30" hidden="false" customHeight="true" outlineLevel="0" collapsed="false">
      <c r="A12" s="59" t="s">
        <v>762</v>
      </c>
      <c r="B12" s="60" t="s">
        <v>763</v>
      </c>
      <c r="C12" s="61" t="s">
        <v>733</v>
      </c>
      <c r="D12" s="65" t="n">
        <f aca="false">Acute_IFT_Series!F20</f>
        <v>0.0928283342587309</v>
      </c>
      <c r="E12" s="63" t="s">
        <v>764</v>
      </c>
      <c r="F12" s="61" t="s">
        <v>751</v>
      </c>
      <c r="G12" s="61" t="s">
        <v>736</v>
      </c>
      <c r="H12" s="63" t="s">
        <v>765</v>
      </c>
      <c r="I12" s="60" t="s">
        <v>766</v>
      </c>
      <c r="J12" s="63" t="s">
        <v>93</v>
      </c>
      <c r="K12" s="60" t="s">
        <v>767</v>
      </c>
    </row>
    <row r="13" customFormat="false" ht="30" hidden="false" customHeight="true" outlineLevel="0" collapsed="false">
      <c r="A13" s="54" t="s">
        <v>768</v>
      </c>
      <c r="B13" s="55" t="s">
        <v>763</v>
      </c>
      <c r="C13" s="56" t="s">
        <v>741</v>
      </c>
      <c r="D13" s="66" t="n">
        <f aca="false">Acute_IFT_Series!F21</f>
        <v>0.0984715007917864</v>
      </c>
      <c r="E13" s="58" t="s">
        <v>764</v>
      </c>
      <c r="F13" s="56" t="s">
        <v>751</v>
      </c>
      <c r="G13" s="56" t="s">
        <v>736</v>
      </c>
      <c r="H13" s="58" t="s">
        <v>769</v>
      </c>
      <c r="I13" s="55" t="s">
        <v>770</v>
      </c>
      <c r="J13" s="58" t="s">
        <v>93</v>
      </c>
      <c r="K13" s="55" t="s">
        <v>771</v>
      </c>
    </row>
    <row r="14" customFormat="false" ht="42" hidden="false" customHeight="true" outlineLevel="0" collapsed="false">
      <c r="A14" s="59" t="s">
        <v>772</v>
      </c>
      <c r="B14" s="60" t="s">
        <v>773</v>
      </c>
      <c r="C14" s="61" t="s">
        <v>741</v>
      </c>
      <c r="D14" s="67" t="n">
        <f aca="false">AVERAGE(Acute_IFT_Series!F17:F21)</f>
        <v>0.0948549875200595</v>
      </c>
      <c r="E14" s="63" t="s">
        <v>764</v>
      </c>
      <c r="F14" s="61" t="s">
        <v>751</v>
      </c>
      <c r="G14" s="61" t="s">
        <v>736</v>
      </c>
      <c r="H14" s="63" t="s">
        <v>774</v>
      </c>
      <c r="I14" s="60" t="s">
        <v>760</v>
      </c>
      <c r="J14" s="63" t="s">
        <v>93</v>
      </c>
      <c r="K14" s="60" t="s">
        <v>775</v>
      </c>
    </row>
    <row r="15" customFormat="false" ht="30" hidden="false" customHeight="true" outlineLevel="0" collapsed="false">
      <c r="A15" s="54" t="s">
        <v>776</v>
      </c>
      <c r="B15" s="55" t="s">
        <v>777</v>
      </c>
      <c r="C15" s="56" t="s">
        <v>778</v>
      </c>
      <c r="D15" s="68" t="n">
        <f aca="false">Acute_IFT_Series!G10</f>
        <v>0.743681922057124</v>
      </c>
      <c r="E15" s="58" t="s">
        <v>764</v>
      </c>
      <c r="F15" s="56" t="s">
        <v>751</v>
      </c>
      <c r="G15" s="56" t="s">
        <v>736</v>
      </c>
      <c r="H15" s="58" t="s">
        <v>96</v>
      </c>
      <c r="I15" s="55"/>
      <c r="J15" s="58" t="s">
        <v>93</v>
      </c>
      <c r="K15" s="55" t="s">
        <v>779</v>
      </c>
    </row>
    <row r="16" customFormat="false" ht="30" hidden="false" customHeight="true" outlineLevel="0" collapsed="false">
      <c r="A16" s="59" t="s">
        <v>780</v>
      </c>
      <c r="B16" s="60" t="s">
        <v>777</v>
      </c>
      <c r="C16" s="61" t="s">
        <v>733</v>
      </c>
      <c r="D16" s="69" t="n">
        <f aca="false">Acute_IFT_Series!G20</f>
        <v>0.789120372187911</v>
      </c>
      <c r="E16" s="63" t="s">
        <v>764</v>
      </c>
      <c r="F16" s="61" t="s">
        <v>751</v>
      </c>
      <c r="G16" s="61" t="s">
        <v>736</v>
      </c>
      <c r="H16" s="63" t="s">
        <v>96</v>
      </c>
      <c r="I16" s="60"/>
      <c r="J16" s="63" t="s">
        <v>93</v>
      </c>
      <c r="K16" s="60" t="s">
        <v>781</v>
      </c>
    </row>
    <row r="17" customFormat="false" ht="30" hidden="false" customHeight="true" outlineLevel="0" collapsed="false">
      <c r="A17" s="54" t="s">
        <v>782</v>
      </c>
      <c r="B17" s="55" t="s">
        <v>777</v>
      </c>
      <c r="C17" s="56" t="s">
        <v>741</v>
      </c>
      <c r="D17" s="68" t="n">
        <f aca="false">Acute_IFT_Series!G21</f>
        <v>0.801966567288638</v>
      </c>
      <c r="E17" s="58" t="s">
        <v>764</v>
      </c>
      <c r="F17" s="56" t="s">
        <v>751</v>
      </c>
      <c r="G17" s="56" t="s">
        <v>736</v>
      </c>
      <c r="H17" s="58" t="s">
        <v>96</v>
      </c>
      <c r="I17" s="55"/>
      <c r="J17" s="58" t="s">
        <v>93</v>
      </c>
      <c r="K17" s="55" t="s">
        <v>783</v>
      </c>
    </row>
    <row r="18" customFormat="false" ht="54.75" hidden="false" customHeight="true" outlineLevel="0" collapsed="false">
      <c r="A18" s="59" t="s">
        <v>784</v>
      </c>
      <c r="B18" s="60" t="s">
        <v>785</v>
      </c>
      <c r="C18" s="61" t="s">
        <v>741</v>
      </c>
      <c r="D18" s="67" t="n">
        <f aca="false">(Acute_IFT_Series!B21/Acute_IFT_Series!B10)^(1/11)-1</f>
        <v>0.015507850655432</v>
      </c>
      <c r="E18" s="63" t="s">
        <v>786</v>
      </c>
      <c r="F18" s="61" t="s">
        <v>751</v>
      </c>
      <c r="G18" s="61" t="s">
        <v>736</v>
      </c>
      <c r="H18" s="63" t="s">
        <v>737</v>
      </c>
      <c r="I18" s="60" t="s">
        <v>787</v>
      </c>
      <c r="J18" s="63" t="s">
        <v>93</v>
      </c>
      <c r="K18" s="60" t="s">
        <v>788</v>
      </c>
    </row>
    <row r="19" customFormat="false" ht="54.75" hidden="false" customHeight="true" outlineLevel="0" collapsed="false">
      <c r="A19" s="54" t="s">
        <v>789</v>
      </c>
      <c r="B19" s="55" t="s">
        <v>790</v>
      </c>
      <c r="C19" s="56" t="s">
        <v>741</v>
      </c>
      <c r="D19" s="70" t="n">
        <f aca="false">(Acute_IFT_Series!C21/Acute_IFT_Series!C10)^(1/11)-1</f>
        <v>-0.0148127982385301</v>
      </c>
      <c r="E19" s="58" t="s">
        <v>786</v>
      </c>
      <c r="F19" s="56" t="s">
        <v>751</v>
      </c>
      <c r="G19" s="56" t="s">
        <v>736</v>
      </c>
      <c r="H19" s="58" t="s">
        <v>100</v>
      </c>
      <c r="I19" s="55"/>
      <c r="J19" s="58" t="s">
        <v>93</v>
      </c>
      <c r="K19" s="55" t="s">
        <v>791</v>
      </c>
    </row>
    <row r="20" customFormat="false" ht="54.75" hidden="false" customHeight="true" outlineLevel="0" collapsed="false">
      <c r="A20" s="59" t="s">
        <v>792</v>
      </c>
      <c r="B20" s="60" t="s">
        <v>793</v>
      </c>
      <c r="C20" s="61" t="s">
        <v>741</v>
      </c>
      <c r="D20" s="67" t="n">
        <f aca="false">(Acute_IFT_Series!D21/Acute_IFT_Series!D10)^(1/11)-1</f>
        <v>0.0085659028276972</v>
      </c>
      <c r="E20" s="63" t="s">
        <v>786</v>
      </c>
      <c r="F20" s="61" t="s">
        <v>751</v>
      </c>
      <c r="G20" s="61" t="s">
        <v>736</v>
      </c>
      <c r="H20" s="63" t="s">
        <v>96</v>
      </c>
      <c r="I20" s="60"/>
      <c r="J20" s="63" t="s">
        <v>93</v>
      </c>
      <c r="K20" s="60" t="s">
        <v>794</v>
      </c>
    </row>
    <row r="21" customFormat="false" ht="54.75" hidden="false" customHeight="true" outlineLevel="0" collapsed="false">
      <c r="A21" s="54" t="s">
        <v>795</v>
      </c>
      <c r="B21" s="55" t="s">
        <v>796</v>
      </c>
      <c r="C21" s="56" t="s">
        <v>741</v>
      </c>
      <c r="D21" s="70" t="n">
        <f aca="false">(Acute_IFT_Series!E21/Acute_IFT_Series!E10)^(1/11)-1</f>
        <v>-0.00670093830969543</v>
      </c>
      <c r="E21" s="58" t="s">
        <v>786</v>
      </c>
      <c r="F21" s="56" t="s">
        <v>751</v>
      </c>
      <c r="G21" s="56" t="s">
        <v>736</v>
      </c>
      <c r="H21" s="58" t="s">
        <v>797</v>
      </c>
      <c r="I21" s="55"/>
      <c r="J21" s="58" t="s">
        <v>93</v>
      </c>
      <c r="K21" s="55" t="s">
        <v>798</v>
      </c>
    </row>
    <row r="22" customFormat="false" ht="30" hidden="false" customHeight="true" outlineLevel="0" collapsed="false">
      <c r="A22" s="59" t="s">
        <v>799</v>
      </c>
      <c r="B22" s="60" t="s">
        <v>800</v>
      </c>
      <c r="C22" s="61" t="s">
        <v>733</v>
      </c>
      <c r="D22" s="62" t="n">
        <f aca="false">Acute_IFT_Series!E20</f>
        <v>31555807</v>
      </c>
      <c r="E22" s="63" t="s">
        <v>801</v>
      </c>
      <c r="F22" s="61" t="s">
        <v>735</v>
      </c>
      <c r="G22" s="61" t="s">
        <v>736</v>
      </c>
      <c r="H22" s="63" t="s">
        <v>802</v>
      </c>
      <c r="I22" s="60" t="s">
        <v>803</v>
      </c>
      <c r="J22" s="63" t="s">
        <v>93</v>
      </c>
      <c r="K22" s="60" t="s">
        <v>804</v>
      </c>
    </row>
    <row r="23" customFormat="false" ht="30" hidden="false" customHeight="true" outlineLevel="0" collapsed="false">
      <c r="A23" s="54" t="s">
        <v>805</v>
      </c>
      <c r="B23" s="55" t="s">
        <v>800</v>
      </c>
      <c r="C23" s="56" t="s">
        <v>806</v>
      </c>
      <c r="D23" s="57" t="n">
        <f aca="false">Cost_and_Capacity!C50</f>
        <v>33553725</v>
      </c>
      <c r="E23" s="58" t="s">
        <v>801</v>
      </c>
      <c r="F23" s="56" t="s">
        <v>735</v>
      </c>
      <c r="G23" s="56" t="s">
        <v>736</v>
      </c>
      <c r="H23" s="58" t="s">
        <v>807</v>
      </c>
      <c r="I23" s="55" t="s">
        <v>808</v>
      </c>
      <c r="J23" s="58" t="s">
        <v>144</v>
      </c>
      <c r="K23" s="55" t="s">
        <v>809</v>
      </c>
    </row>
    <row r="24" customFormat="false" ht="30" hidden="false" customHeight="true" outlineLevel="0" collapsed="false">
      <c r="A24" s="59" t="s">
        <v>810</v>
      </c>
      <c r="B24" s="60" t="s">
        <v>811</v>
      </c>
      <c r="C24" s="61" t="s">
        <v>806</v>
      </c>
      <c r="D24" s="62" t="n">
        <f aca="false">Cost_and_Capacity!B50</f>
        <v>35658583</v>
      </c>
      <c r="E24" s="63" t="s">
        <v>801</v>
      </c>
      <c r="F24" s="61" t="s">
        <v>735</v>
      </c>
      <c r="G24" s="61" t="s">
        <v>736</v>
      </c>
      <c r="H24" s="63" t="s">
        <v>807</v>
      </c>
      <c r="I24" s="60" t="s">
        <v>808</v>
      </c>
      <c r="J24" s="63" t="s">
        <v>144</v>
      </c>
      <c r="K24" s="60" t="s">
        <v>812</v>
      </c>
    </row>
    <row r="25" customFormat="false" ht="30" hidden="false" customHeight="true" outlineLevel="0" collapsed="false">
      <c r="A25" s="54" t="s">
        <v>813</v>
      </c>
      <c r="B25" s="55" t="s">
        <v>814</v>
      </c>
      <c r="C25" s="56" t="s">
        <v>733</v>
      </c>
      <c r="D25" s="57" t="n">
        <f aca="false">Receiving_Side!C15</f>
        <v>2205490</v>
      </c>
      <c r="E25" s="58" t="s">
        <v>801</v>
      </c>
      <c r="F25" s="56" t="s">
        <v>735</v>
      </c>
      <c r="G25" s="56" t="s">
        <v>736</v>
      </c>
      <c r="H25" s="58" t="s">
        <v>100</v>
      </c>
      <c r="I25" s="55" t="s">
        <v>815</v>
      </c>
      <c r="J25" s="58" t="s">
        <v>97</v>
      </c>
      <c r="K25" s="55" t="s">
        <v>816</v>
      </c>
    </row>
    <row r="26" customFormat="false" ht="30" hidden="false" customHeight="true" outlineLevel="0" collapsed="false">
      <c r="A26" s="59" t="s">
        <v>817</v>
      </c>
      <c r="B26" s="60" t="s">
        <v>814</v>
      </c>
      <c r="C26" s="61" t="s">
        <v>741</v>
      </c>
      <c r="D26" s="62" t="n">
        <f aca="false">Receiving_Side!C16</f>
        <v>2463771</v>
      </c>
      <c r="E26" s="63" t="s">
        <v>801</v>
      </c>
      <c r="F26" s="61" t="s">
        <v>735</v>
      </c>
      <c r="G26" s="61" t="s">
        <v>736</v>
      </c>
      <c r="H26" s="63" t="s">
        <v>100</v>
      </c>
      <c r="I26" s="60" t="s">
        <v>815</v>
      </c>
      <c r="J26" s="63" t="s">
        <v>97</v>
      </c>
      <c r="K26" s="60" t="s">
        <v>748</v>
      </c>
    </row>
    <row r="27" customFormat="false" ht="30" hidden="false" customHeight="true" outlineLevel="0" collapsed="false">
      <c r="A27" s="54" t="s">
        <v>818</v>
      </c>
      <c r="B27" s="55" t="s">
        <v>819</v>
      </c>
      <c r="C27" s="56" t="s">
        <v>733</v>
      </c>
      <c r="D27" s="68" t="n">
        <f aca="false">Receiving_Side!D15</f>
        <v>0.752913777582356</v>
      </c>
      <c r="E27" s="58" t="s">
        <v>764</v>
      </c>
      <c r="F27" s="56" t="s">
        <v>751</v>
      </c>
      <c r="G27" s="56" t="s">
        <v>736</v>
      </c>
      <c r="H27" s="58" t="s">
        <v>96</v>
      </c>
      <c r="I27" s="55" t="s">
        <v>820</v>
      </c>
      <c r="J27" s="58" t="s">
        <v>97</v>
      </c>
      <c r="K27" s="55" t="s">
        <v>821</v>
      </c>
    </row>
    <row r="28" customFormat="false" ht="30" hidden="false" customHeight="true" outlineLevel="0" collapsed="false">
      <c r="A28" s="59" t="s">
        <v>822</v>
      </c>
      <c r="B28" s="60" t="s">
        <v>819</v>
      </c>
      <c r="C28" s="61" t="s">
        <v>741</v>
      </c>
      <c r="D28" s="69" t="n">
        <f aca="false">Receiving_Side!D16</f>
        <v>0.773519501787046</v>
      </c>
      <c r="E28" s="63" t="s">
        <v>764</v>
      </c>
      <c r="F28" s="61" t="s">
        <v>751</v>
      </c>
      <c r="G28" s="61" t="s">
        <v>736</v>
      </c>
      <c r="H28" s="63" t="s">
        <v>96</v>
      </c>
      <c r="I28" s="60"/>
      <c r="J28" s="63" t="s">
        <v>97</v>
      </c>
      <c r="K28" s="71"/>
    </row>
    <row r="29" customFormat="false" ht="30" hidden="false" customHeight="true" outlineLevel="0" collapsed="false">
      <c r="A29" s="54" t="s">
        <v>823</v>
      </c>
      <c r="B29" s="55" t="s">
        <v>824</v>
      </c>
      <c r="C29" s="56" t="s">
        <v>806</v>
      </c>
      <c r="D29" s="57" t="n">
        <f aca="false">EMS_Transports!G6</f>
        <v>60298684</v>
      </c>
      <c r="E29" s="58" t="s">
        <v>825</v>
      </c>
      <c r="F29" s="56" t="s">
        <v>735</v>
      </c>
      <c r="G29" s="56" t="s">
        <v>736</v>
      </c>
      <c r="H29" s="58" t="s">
        <v>826</v>
      </c>
      <c r="I29" s="55" t="s">
        <v>827</v>
      </c>
      <c r="J29" s="58" t="s">
        <v>101</v>
      </c>
      <c r="K29" s="55" t="s">
        <v>828</v>
      </c>
    </row>
    <row r="30" customFormat="false" ht="30" hidden="false" customHeight="true" outlineLevel="0" collapsed="false">
      <c r="A30" s="59" t="s">
        <v>829</v>
      </c>
      <c r="B30" s="60" t="s">
        <v>830</v>
      </c>
      <c r="C30" s="61" t="s">
        <v>806</v>
      </c>
      <c r="D30" s="62" t="n">
        <f aca="false">EMS_Transports!B27</f>
        <v>5510664</v>
      </c>
      <c r="E30" s="63" t="s">
        <v>831</v>
      </c>
      <c r="F30" s="61" t="s">
        <v>735</v>
      </c>
      <c r="G30" s="61" t="s">
        <v>736</v>
      </c>
      <c r="H30" s="63" t="s">
        <v>826</v>
      </c>
      <c r="I30" s="60" t="s">
        <v>832</v>
      </c>
      <c r="J30" s="63" t="s">
        <v>101</v>
      </c>
      <c r="K30" s="60" t="s">
        <v>833</v>
      </c>
    </row>
    <row r="31" customFormat="false" ht="30" hidden="false" customHeight="true" outlineLevel="0" collapsed="false">
      <c r="A31" s="54" t="s">
        <v>834</v>
      </c>
      <c r="B31" s="55" t="s">
        <v>835</v>
      </c>
      <c r="C31" s="56" t="s">
        <v>806</v>
      </c>
      <c r="D31" s="57" t="n">
        <f aca="false">EMS_Transports!B49</f>
        <v>7512656</v>
      </c>
      <c r="E31" s="58" t="s">
        <v>831</v>
      </c>
      <c r="F31" s="56" t="s">
        <v>751</v>
      </c>
      <c r="G31" s="56" t="s">
        <v>736</v>
      </c>
      <c r="H31" s="58" t="s">
        <v>826</v>
      </c>
      <c r="I31" s="55" t="s">
        <v>836</v>
      </c>
      <c r="J31" s="58" t="s">
        <v>101</v>
      </c>
      <c r="K31" s="55" t="s">
        <v>837</v>
      </c>
    </row>
    <row r="32" customFormat="false" ht="30" hidden="false" customHeight="true" outlineLevel="0" collapsed="false">
      <c r="A32" s="59" t="s">
        <v>838</v>
      </c>
      <c r="B32" s="60" t="s">
        <v>839</v>
      </c>
      <c r="C32" s="61" t="s">
        <v>806</v>
      </c>
      <c r="D32" s="62" t="n">
        <f aca="false">EMS_Transports!B28</f>
        <v>4467204</v>
      </c>
      <c r="E32" s="63" t="s">
        <v>831</v>
      </c>
      <c r="F32" s="61" t="s">
        <v>735</v>
      </c>
      <c r="G32" s="61" t="s">
        <v>736</v>
      </c>
      <c r="H32" s="63" t="s">
        <v>826</v>
      </c>
      <c r="I32" s="60" t="s">
        <v>840</v>
      </c>
      <c r="J32" s="63" t="s">
        <v>101</v>
      </c>
      <c r="K32" s="60" t="s">
        <v>841</v>
      </c>
    </row>
    <row r="33" customFormat="false" ht="30" hidden="false" customHeight="true" outlineLevel="0" collapsed="false">
      <c r="A33" s="54" t="s">
        <v>842</v>
      </c>
      <c r="B33" s="55" t="s">
        <v>843</v>
      </c>
      <c r="C33" s="56" t="s">
        <v>844</v>
      </c>
      <c r="D33" s="57" t="n">
        <f aca="false">EMS_Transports!B17</f>
        <v>3309316</v>
      </c>
      <c r="E33" s="58" t="s">
        <v>825</v>
      </c>
      <c r="F33" s="56" t="s">
        <v>735</v>
      </c>
      <c r="G33" s="56" t="s">
        <v>845</v>
      </c>
      <c r="H33" s="58" t="s">
        <v>826</v>
      </c>
      <c r="I33" s="55" t="s">
        <v>846</v>
      </c>
      <c r="J33" s="58" t="s">
        <v>101</v>
      </c>
      <c r="K33" s="55" t="s">
        <v>847</v>
      </c>
    </row>
    <row r="34" customFormat="false" ht="30" hidden="false" customHeight="true" outlineLevel="0" collapsed="false">
      <c r="A34" s="59" t="s">
        <v>848</v>
      </c>
      <c r="B34" s="60" t="s">
        <v>843</v>
      </c>
      <c r="C34" s="61" t="s">
        <v>741</v>
      </c>
      <c r="D34" s="62" t="n">
        <f aca="false">EMS_Transports!F17</f>
        <v>4179580</v>
      </c>
      <c r="E34" s="63" t="s">
        <v>825</v>
      </c>
      <c r="F34" s="61" t="s">
        <v>735</v>
      </c>
      <c r="G34" s="61" t="s">
        <v>845</v>
      </c>
      <c r="H34" s="63" t="s">
        <v>826</v>
      </c>
      <c r="I34" s="60" t="s">
        <v>849</v>
      </c>
      <c r="J34" s="63" t="s">
        <v>101</v>
      </c>
      <c r="K34" s="60" t="s">
        <v>850</v>
      </c>
    </row>
    <row r="35" customFormat="false" ht="30" hidden="false" customHeight="true" outlineLevel="0" collapsed="false">
      <c r="A35" s="54" t="s">
        <v>851</v>
      </c>
      <c r="B35" s="55" t="s">
        <v>852</v>
      </c>
      <c r="C35" s="56" t="s">
        <v>733</v>
      </c>
      <c r="D35" s="57" t="n">
        <f aca="false">EMS_Transports!E56</f>
        <v>24016095</v>
      </c>
      <c r="E35" s="58" t="s">
        <v>831</v>
      </c>
      <c r="F35" s="56" t="s">
        <v>735</v>
      </c>
      <c r="G35" s="56" t="s">
        <v>845</v>
      </c>
      <c r="H35" s="58" t="s">
        <v>826</v>
      </c>
      <c r="I35" s="55" t="s">
        <v>853</v>
      </c>
      <c r="J35" s="58" t="s">
        <v>101</v>
      </c>
      <c r="K35" s="55" t="s">
        <v>854</v>
      </c>
    </row>
    <row r="36" customFormat="false" ht="30" hidden="false" customHeight="true" outlineLevel="0" collapsed="false">
      <c r="A36" s="59" t="s">
        <v>855</v>
      </c>
      <c r="B36" s="60" t="s">
        <v>856</v>
      </c>
      <c r="C36" s="61" t="s">
        <v>733</v>
      </c>
      <c r="D36" s="62" t="n">
        <f aca="false">EMS_Transports!C75</f>
        <v>136974618</v>
      </c>
      <c r="E36" s="63" t="s">
        <v>857</v>
      </c>
      <c r="F36" s="61" t="s">
        <v>735</v>
      </c>
      <c r="G36" s="61" t="s">
        <v>736</v>
      </c>
      <c r="H36" s="63" t="s">
        <v>858</v>
      </c>
      <c r="I36" s="60" t="s">
        <v>859</v>
      </c>
      <c r="J36" s="63" t="s">
        <v>101</v>
      </c>
      <c r="K36" s="60" t="s">
        <v>860</v>
      </c>
    </row>
    <row r="37" customFormat="false" ht="30" hidden="false" customHeight="true" outlineLevel="0" collapsed="false">
      <c r="A37" s="54" t="s">
        <v>861</v>
      </c>
      <c r="B37" s="55" t="s">
        <v>856</v>
      </c>
      <c r="C37" s="56" t="s">
        <v>741</v>
      </c>
      <c r="D37" s="57" t="n">
        <f aca="false">EMS_Transports!C76</f>
        <v>142193558</v>
      </c>
      <c r="E37" s="58" t="s">
        <v>857</v>
      </c>
      <c r="F37" s="56" t="s">
        <v>735</v>
      </c>
      <c r="G37" s="56" t="s">
        <v>736</v>
      </c>
      <c r="H37" s="58" t="s">
        <v>862</v>
      </c>
      <c r="I37" s="55" t="s">
        <v>621</v>
      </c>
      <c r="J37" s="58" t="s">
        <v>101</v>
      </c>
      <c r="K37" s="55" t="s">
        <v>863</v>
      </c>
    </row>
    <row r="38" customFormat="false" ht="30" hidden="false" customHeight="true" outlineLevel="0" collapsed="false">
      <c r="A38" s="59" t="s">
        <v>864</v>
      </c>
      <c r="B38" s="60" t="s">
        <v>865</v>
      </c>
      <c r="C38" s="61" t="s">
        <v>866</v>
      </c>
      <c r="D38" s="65" t="n">
        <f aca="false">EMS_Transports!D78</f>
        <v>0.161514302212583</v>
      </c>
      <c r="E38" s="63" t="s">
        <v>764</v>
      </c>
      <c r="F38" s="61" t="s">
        <v>751</v>
      </c>
      <c r="G38" s="61" t="s">
        <v>845</v>
      </c>
      <c r="H38" s="63" t="s">
        <v>867</v>
      </c>
      <c r="I38" s="60" t="s">
        <v>868</v>
      </c>
      <c r="J38" s="63" t="s">
        <v>101</v>
      </c>
      <c r="K38" s="60" t="s">
        <v>869</v>
      </c>
    </row>
    <row r="39" customFormat="false" ht="30" hidden="false" customHeight="true" outlineLevel="0" collapsed="false">
      <c r="A39" s="54" t="s">
        <v>870</v>
      </c>
      <c r="B39" s="55" t="s">
        <v>871</v>
      </c>
      <c r="C39" s="56" t="s">
        <v>733</v>
      </c>
      <c r="D39" s="57" t="n">
        <f aca="false">Medicare_PSPS!C10</f>
        <v>825178</v>
      </c>
      <c r="E39" s="58" t="s">
        <v>831</v>
      </c>
      <c r="F39" s="56" t="s">
        <v>735</v>
      </c>
      <c r="G39" s="56" t="s">
        <v>736</v>
      </c>
      <c r="H39" s="58" t="s">
        <v>298</v>
      </c>
      <c r="I39" s="55" t="s">
        <v>872</v>
      </c>
      <c r="J39" s="58" t="s">
        <v>105</v>
      </c>
      <c r="K39" s="55" t="s">
        <v>873</v>
      </c>
    </row>
    <row r="40" customFormat="false" ht="30" hidden="false" customHeight="true" outlineLevel="0" collapsed="false">
      <c r="A40" s="59" t="s">
        <v>874</v>
      </c>
      <c r="B40" s="60" t="s">
        <v>871</v>
      </c>
      <c r="C40" s="61" t="s">
        <v>806</v>
      </c>
      <c r="D40" s="62" t="n">
        <f aca="false">Medicare_PSPS!E10</f>
        <v>871753</v>
      </c>
      <c r="E40" s="63" t="s">
        <v>831</v>
      </c>
      <c r="F40" s="61" t="s">
        <v>735</v>
      </c>
      <c r="G40" s="61" t="s">
        <v>736</v>
      </c>
      <c r="H40" s="63" t="s">
        <v>298</v>
      </c>
      <c r="I40" s="60" t="s">
        <v>875</v>
      </c>
      <c r="J40" s="63" t="s">
        <v>105</v>
      </c>
      <c r="K40" s="60" t="s">
        <v>876</v>
      </c>
    </row>
    <row r="41" customFormat="false" ht="30" hidden="false" customHeight="true" outlineLevel="0" collapsed="false">
      <c r="A41" s="54" t="s">
        <v>877</v>
      </c>
      <c r="B41" s="55" t="s">
        <v>878</v>
      </c>
      <c r="C41" s="56" t="s">
        <v>806</v>
      </c>
      <c r="D41" s="66" t="n">
        <f aca="false">Medicare_PSPS!B39</f>
        <v>0.0278338229432542</v>
      </c>
      <c r="E41" s="58" t="s">
        <v>786</v>
      </c>
      <c r="F41" s="56" t="s">
        <v>751</v>
      </c>
      <c r="G41" s="56" t="s">
        <v>736</v>
      </c>
      <c r="H41" s="58" t="s">
        <v>298</v>
      </c>
      <c r="I41" s="55"/>
      <c r="J41" s="58" t="s">
        <v>105</v>
      </c>
      <c r="K41" s="55" t="s">
        <v>879</v>
      </c>
    </row>
    <row r="42" customFormat="false" ht="30" hidden="false" customHeight="true" outlineLevel="0" collapsed="false">
      <c r="A42" s="59" t="s">
        <v>880</v>
      </c>
      <c r="B42" s="60" t="s">
        <v>881</v>
      </c>
      <c r="C42" s="61" t="s">
        <v>806</v>
      </c>
      <c r="D42" s="65" t="n">
        <f aca="false">Medicare_PSPS!B40</f>
        <v>-0.0279809835441639</v>
      </c>
      <c r="E42" s="63" t="s">
        <v>786</v>
      </c>
      <c r="F42" s="61" t="s">
        <v>751</v>
      </c>
      <c r="G42" s="61" t="s">
        <v>736</v>
      </c>
      <c r="H42" s="63" t="s">
        <v>298</v>
      </c>
      <c r="I42" s="60"/>
      <c r="J42" s="63" t="s">
        <v>105</v>
      </c>
      <c r="K42" s="60" t="s">
        <v>882</v>
      </c>
    </row>
    <row r="43" customFormat="false" ht="30" hidden="false" customHeight="true" outlineLevel="0" collapsed="false">
      <c r="A43" s="54" t="s">
        <v>883</v>
      </c>
      <c r="B43" s="55" t="s">
        <v>884</v>
      </c>
      <c r="C43" s="56" t="s">
        <v>806</v>
      </c>
      <c r="D43" s="68" t="n">
        <f aca="false">Medicare_PSPS!B34</f>
        <v>0.623358910150008</v>
      </c>
      <c r="E43" s="58" t="s">
        <v>764</v>
      </c>
      <c r="F43" s="56" t="s">
        <v>751</v>
      </c>
      <c r="G43" s="56" t="s">
        <v>736</v>
      </c>
      <c r="H43" s="58" t="s">
        <v>298</v>
      </c>
      <c r="I43" s="55" t="s">
        <v>885</v>
      </c>
      <c r="J43" s="58" t="s">
        <v>105</v>
      </c>
      <c r="K43" s="55" t="s">
        <v>886</v>
      </c>
    </row>
    <row r="44" customFormat="false" ht="30" hidden="false" customHeight="true" outlineLevel="0" collapsed="false">
      <c r="A44" s="59" t="s">
        <v>887</v>
      </c>
      <c r="B44" s="60" t="s">
        <v>888</v>
      </c>
      <c r="C44" s="61" t="s">
        <v>806</v>
      </c>
      <c r="D44" s="69" t="n">
        <f aca="false">Medicare_PSPS!B35</f>
        <v>0.0664247785783358</v>
      </c>
      <c r="E44" s="63" t="s">
        <v>764</v>
      </c>
      <c r="F44" s="61" t="s">
        <v>751</v>
      </c>
      <c r="G44" s="61" t="s">
        <v>736</v>
      </c>
      <c r="H44" s="63" t="s">
        <v>298</v>
      </c>
      <c r="I44" s="60" t="s">
        <v>889</v>
      </c>
      <c r="J44" s="63" t="s">
        <v>105</v>
      </c>
      <c r="K44" s="60" t="s">
        <v>890</v>
      </c>
    </row>
    <row r="45" customFormat="false" ht="16.5" hidden="false" customHeight="true" outlineLevel="0" collapsed="false">
      <c r="A45" s="54" t="s">
        <v>891</v>
      </c>
      <c r="B45" s="55" t="s">
        <v>892</v>
      </c>
      <c r="C45" s="56" t="s">
        <v>806</v>
      </c>
      <c r="D45" s="68" t="n">
        <f aca="false">Medicare_PSPS!B36</f>
        <v>0.0068276220443176</v>
      </c>
      <c r="E45" s="58" t="s">
        <v>764</v>
      </c>
      <c r="F45" s="56" t="s">
        <v>751</v>
      </c>
      <c r="G45" s="56" t="s">
        <v>736</v>
      </c>
      <c r="H45" s="58" t="s">
        <v>298</v>
      </c>
      <c r="I45" s="55" t="s">
        <v>893</v>
      </c>
      <c r="J45" s="58" t="s">
        <v>105</v>
      </c>
      <c r="K45" s="55" t="s">
        <v>894</v>
      </c>
    </row>
    <row r="46" customFormat="false" ht="16.5" hidden="false" customHeight="true" outlineLevel="0" collapsed="false">
      <c r="A46" s="59" t="s">
        <v>895</v>
      </c>
      <c r="B46" s="60" t="s">
        <v>896</v>
      </c>
      <c r="C46" s="61" t="s">
        <v>806</v>
      </c>
      <c r="D46" s="69" t="n">
        <f aca="false">Medicare_PSPS!B37</f>
        <v>0.303388689227338</v>
      </c>
      <c r="E46" s="63" t="s">
        <v>764</v>
      </c>
      <c r="F46" s="61" t="s">
        <v>751</v>
      </c>
      <c r="G46" s="61" t="s">
        <v>736</v>
      </c>
      <c r="H46" s="63" t="s">
        <v>298</v>
      </c>
      <c r="I46" s="60" t="s">
        <v>897</v>
      </c>
      <c r="J46" s="63" t="s">
        <v>105</v>
      </c>
      <c r="K46" s="60" t="s">
        <v>898</v>
      </c>
    </row>
    <row r="47" customFormat="false" ht="16.5" hidden="false" customHeight="true" outlineLevel="0" collapsed="false">
      <c r="A47" s="54" t="s">
        <v>899</v>
      </c>
      <c r="B47" s="55" t="s">
        <v>900</v>
      </c>
      <c r="C47" s="56" t="s">
        <v>806</v>
      </c>
      <c r="D47" s="72" t="n">
        <f aca="false">Medicare_PSPS!B38</f>
        <v>1.44996495566978</v>
      </c>
      <c r="E47" s="58" t="s">
        <v>901</v>
      </c>
      <c r="F47" s="56" t="s">
        <v>751</v>
      </c>
      <c r="G47" s="56" t="s">
        <v>736</v>
      </c>
      <c r="H47" s="58" t="s">
        <v>346</v>
      </c>
      <c r="I47" s="55" t="s">
        <v>902</v>
      </c>
      <c r="J47" s="58" t="s">
        <v>105</v>
      </c>
      <c r="K47" s="55" t="s">
        <v>903</v>
      </c>
    </row>
    <row r="48" customFormat="false" ht="30" hidden="false" customHeight="true" outlineLevel="0" collapsed="false">
      <c r="A48" s="59" t="s">
        <v>904</v>
      </c>
      <c r="B48" s="60" t="s">
        <v>905</v>
      </c>
      <c r="C48" s="61" t="s">
        <v>906</v>
      </c>
      <c r="D48" s="69" t="n">
        <f aca="false">Payment_Rules!B23</f>
        <v>0.02</v>
      </c>
      <c r="E48" s="63" t="s">
        <v>786</v>
      </c>
      <c r="F48" s="61" t="s">
        <v>735</v>
      </c>
      <c r="G48" s="61" t="s">
        <v>736</v>
      </c>
      <c r="H48" s="63" t="s">
        <v>907</v>
      </c>
      <c r="I48" s="60" t="s">
        <v>908</v>
      </c>
      <c r="J48" s="63" t="s">
        <v>132</v>
      </c>
      <c r="K48" s="60" t="s">
        <v>909</v>
      </c>
    </row>
    <row r="49" customFormat="false" ht="30" hidden="false" customHeight="true" outlineLevel="0" collapsed="false">
      <c r="A49" s="54" t="s">
        <v>910</v>
      </c>
      <c r="B49" s="55" t="s">
        <v>911</v>
      </c>
      <c r="C49" s="56" t="s">
        <v>906</v>
      </c>
      <c r="D49" s="68" t="n">
        <f aca="false">Payment_Rules!B24</f>
        <v>0.0233333333333333</v>
      </c>
      <c r="E49" s="58" t="s">
        <v>786</v>
      </c>
      <c r="F49" s="56" t="s">
        <v>751</v>
      </c>
      <c r="G49" s="56" t="s">
        <v>736</v>
      </c>
      <c r="H49" s="58" t="s">
        <v>907</v>
      </c>
      <c r="I49" s="55"/>
      <c r="J49" s="58" t="s">
        <v>132</v>
      </c>
      <c r="K49" s="55" t="s">
        <v>912</v>
      </c>
    </row>
    <row r="50" customFormat="false" ht="16.5" hidden="false" customHeight="true" outlineLevel="0" collapsed="false">
      <c r="A50" s="59" t="s">
        <v>913</v>
      </c>
      <c r="B50" s="60" t="s">
        <v>914</v>
      </c>
      <c r="C50" s="61" t="s">
        <v>906</v>
      </c>
      <c r="D50" s="69" t="n">
        <f aca="false">Payment_Rules!B25</f>
        <v>0.0312857142857143</v>
      </c>
      <c r="E50" s="63" t="s">
        <v>786</v>
      </c>
      <c r="F50" s="61" t="s">
        <v>751</v>
      </c>
      <c r="G50" s="61" t="s">
        <v>736</v>
      </c>
      <c r="H50" s="63" t="s">
        <v>907</v>
      </c>
      <c r="I50" s="60"/>
      <c r="J50" s="63" t="s">
        <v>132</v>
      </c>
      <c r="K50" s="60" t="s">
        <v>915</v>
      </c>
    </row>
    <row r="51" customFormat="false" ht="30" hidden="false" customHeight="true" outlineLevel="0" collapsed="false">
      <c r="A51" s="54" t="s">
        <v>916</v>
      </c>
      <c r="B51" s="55" t="s">
        <v>917</v>
      </c>
      <c r="C51" s="56" t="s">
        <v>906</v>
      </c>
      <c r="D51" s="72" t="n">
        <f aca="false">Payment_Rules!C12</f>
        <v>3.25</v>
      </c>
      <c r="E51" s="58" t="s">
        <v>901</v>
      </c>
      <c r="F51" s="56" t="s">
        <v>735</v>
      </c>
      <c r="G51" s="56" t="s">
        <v>736</v>
      </c>
      <c r="H51" s="58" t="s">
        <v>918</v>
      </c>
      <c r="I51" s="55" t="s">
        <v>919</v>
      </c>
      <c r="J51" s="58" t="s">
        <v>132</v>
      </c>
      <c r="K51" s="55" t="s">
        <v>920</v>
      </c>
    </row>
    <row r="52" customFormat="false" ht="30" hidden="false" customHeight="true" outlineLevel="0" collapsed="false">
      <c r="A52" s="59" t="s">
        <v>921</v>
      </c>
      <c r="B52" s="60" t="s">
        <v>922</v>
      </c>
      <c r="C52" s="61" t="s">
        <v>806</v>
      </c>
      <c r="D52" s="73" t="n">
        <f aca="false">Cost_and_Capacity!B6</f>
        <v>2673</v>
      </c>
      <c r="E52" s="63" t="s">
        <v>923</v>
      </c>
      <c r="F52" s="61" t="s">
        <v>735</v>
      </c>
      <c r="G52" s="61" t="s">
        <v>736</v>
      </c>
      <c r="H52" s="63" t="s">
        <v>314</v>
      </c>
      <c r="I52" s="60" t="s">
        <v>924</v>
      </c>
      <c r="J52" s="63" t="s">
        <v>144</v>
      </c>
      <c r="K52" s="60" t="s">
        <v>925</v>
      </c>
    </row>
    <row r="53" customFormat="false" ht="30" hidden="false" customHeight="true" outlineLevel="0" collapsed="false">
      <c r="A53" s="54" t="s">
        <v>926</v>
      </c>
      <c r="B53" s="55" t="s">
        <v>927</v>
      </c>
      <c r="C53" s="56" t="s">
        <v>806</v>
      </c>
      <c r="D53" s="74" t="n">
        <f aca="false">Cost_and_Capacity!B7</f>
        <v>1788</v>
      </c>
      <c r="E53" s="58" t="s">
        <v>923</v>
      </c>
      <c r="F53" s="56" t="s">
        <v>735</v>
      </c>
      <c r="G53" s="56" t="s">
        <v>736</v>
      </c>
      <c r="H53" s="58" t="s">
        <v>314</v>
      </c>
      <c r="I53" s="55" t="s">
        <v>928</v>
      </c>
      <c r="J53" s="58" t="s">
        <v>144</v>
      </c>
      <c r="K53" s="75" t="s">
        <v>929</v>
      </c>
    </row>
    <row r="54" customFormat="false" ht="30" hidden="false" customHeight="true" outlineLevel="0" collapsed="false">
      <c r="A54" s="59" t="s">
        <v>930</v>
      </c>
      <c r="B54" s="60" t="s">
        <v>931</v>
      </c>
      <c r="C54" s="61" t="s">
        <v>806</v>
      </c>
      <c r="D54" s="69" t="n">
        <f aca="false">Cost_and_Capacity!B10</f>
        <v>0.694</v>
      </c>
      <c r="E54" s="63" t="s">
        <v>764</v>
      </c>
      <c r="F54" s="61" t="s">
        <v>735</v>
      </c>
      <c r="G54" s="61" t="s">
        <v>736</v>
      </c>
      <c r="H54" s="63" t="s">
        <v>314</v>
      </c>
      <c r="I54" s="60" t="s">
        <v>932</v>
      </c>
      <c r="J54" s="63" t="s">
        <v>144</v>
      </c>
      <c r="K54" s="60" t="s">
        <v>933</v>
      </c>
    </row>
    <row r="55" customFormat="false" ht="30" hidden="false" customHeight="true" outlineLevel="0" collapsed="false">
      <c r="A55" s="54" t="s">
        <v>934</v>
      </c>
      <c r="B55" s="55" t="s">
        <v>935</v>
      </c>
      <c r="C55" s="56" t="s">
        <v>806</v>
      </c>
      <c r="D55" s="68" t="n">
        <f aca="false">Cost_and_Capacity!B11</f>
        <v>0.605</v>
      </c>
      <c r="E55" s="58" t="s">
        <v>764</v>
      </c>
      <c r="F55" s="56" t="s">
        <v>735</v>
      </c>
      <c r="G55" s="56" t="s">
        <v>736</v>
      </c>
      <c r="H55" s="58" t="s">
        <v>314</v>
      </c>
      <c r="I55" s="55" t="s">
        <v>936</v>
      </c>
      <c r="J55" s="58" t="s">
        <v>144</v>
      </c>
      <c r="K55" s="55" t="s">
        <v>937</v>
      </c>
    </row>
    <row r="56" customFormat="false" ht="30" hidden="false" customHeight="true" outlineLevel="0" collapsed="false">
      <c r="A56" s="59" t="s">
        <v>938</v>
      </c>
      <c r="B56" s="60" t="s">
        <v>939</v>
      </c>
      <c r="C56" s="61" t="s">
        <v>733</v>
      </c>
      <c r="D56" s="65" t="n">
        <f aca="false">Cost_and_Capacity!B17</f>
        <v>0.654927</v>
      </c>
      <c r="E56" s="63" t="s">
        <v>764</v>
      </c>
      <c r="F56" s="61" t="s">
        <v>940</v>
      </c>
      <c r="G56" s="61" t="s">
        <v>941</v>
      </c>
      <c r="H56" s="63" t="s">
        <v>942</v>
      </c>
      <c r="I56" s="60" t="s">
        <v>943</v>
      </c>
      <c r="J56" s="63" t="s">
        <v>144</v>
      </c>
      <c r="K56" s="60" t="s">
        <v>944</v>
      </c>
    </row>
    <row r="57" customFormat="false" ht="30" hidden="false" customHeight="true" outlineLevel="0" collapsed="false">
      <c r="A57" s="54" t="s">
        <v>945</v>
      </c>
      <c r="B57" s="55" t="s">
        <v>946</v>
      </c>
      <c r="C57" s="56" t="s">
        <v>733</v>
      </c>
      <c r="D57" s="72" t="n">
        <f aca="false">Cost_and_Capacity!B18</f>
        <v>3.4204</v>
      </c>
      <c r="E57" s="58" t="s">
        <v>947</v>
      </c>
      <c r="F57" s="56" t="s">
        <v>751</v>
      </c>
      <c r="G57" s="56" t="s">
        <v>941</v>
      </c>
      <c r="H57" s="58" t="s">
        <v>942</v>
      </c>
      <c r="I57" s="55"/>
      <c r="J57" s="58" t="s">
        <v>144</v>
      </c>
      <c r="K57" s="55" t="s">
        <v>948</v>
      </c>
    </row>
    <row r="58" customFormat="false" ht="30" hidden="false" customHeight="true" outlineLevel="0" collapsed="false">
      <c r="A58" s="59" t="s">
        <v>949</v>
      </c>
      <c r="B58" s="60" t="s">
        <v>950</v>
      </c>
      <c r="C58" s="61" t="s">
        <v>806</v>
      </c>
      <c r="D58" s="62" t="n">
        <f aca="false">Cost_and_Capacity!B40</f>
        <v>35481</v>
      </c>
      <c r="E58" s="63" t="s">
        <v>951</v>
      </c>
      <c r="F58" s="61" t="s">
        <v>940</v>
      </c>
      <c r="G58" s="61" t="s">
        <v>941</v>
      </c>
      <c r="H58" s="63" t="s">
        <v>952</v>
      </c>
      <c r="I58" s="60" t="s">
        <v>953</v>
      </c>
      <c r="J58" s="63" t="s">
        <v>144</v>
      </c>
      <c r="K58" s="60" t="s">
        <v>954</v>
      </c>
    </row>
    <row r="59" customFormat="false" ht="30" hidden="false" customHeight="true" outlineLevel="0" collapsed="false">
      <c r="A59" s="54" t="s">
        <v>955</v>
      </c>
      <c r="B59" s="55" t="s">
        <v>956</v>
      </c>
      <c r="C59" s="56" t="s">
        <v>906</v>
      </c>
      <c r="D59" s="76" t="n">
        <v>92</v>
      </c>
      <c r="E59" s="58" t="s">
        <v>957</v>
      </c>
      <c r="F59" s="56" t="s">
        <v>940</v>
      </c>
      <c r="G59" s="56" t="s">
        <v>845</v>
      </c>
      <c r="H59" s="58" t="s">
        <v>958</v>
      </c>
      <c r="I59" s="55" t="s">
        <v>959</v>
      </c>
      <c r="J59" s="58" t="s">
        <v>960</v>
      </c>
      <c r="K59" s="55" t="s">
        <v>961</v>
      </c>
    </row>
    <row r="60" customFormat="false" ht="30" hidden="false" customHeight="true" outlineLevel="0" collapsed="false">
      <c r="A60" s="59" t="s">
        <v>962</v>
      </c>
      <c r="B60" s="60" t="s">
        <v>584</v>
      </c>
      <c r="C60" s="61" t="s">
        <v>806</v>
      </c>
      <c r="D60" s="77" t="n">
        <f aca="false">Payment_Rules!B32</f>
        <v>272.44</v>
      </c>
      <c r="E60" s="63" t="s">
        <v>963</v>
      </c>
      <c r="F60" s="61" t="s">
        <v>735</v>
      </c>
      <c r="G60" s="61" t="s">
        <v>736</v>
      </c>
      <c r="H60" s="63" t="s">
        <v>331</v>
      </c>
      <c r="I60" s="60" t="s">
        <v>964</v>
      </c>
      <c r="J60" s="63" t="s">
        <v>132</v>
      </c>
      <c r="K60" s="60" t="s">
        <v>965</v>
      </c>
    </row>
    <row r="61" customFormat="false" ht="30" hidden="false" customHeight="true" outlineLevel="0" collapsed="false">
      <c r="A61" s="54" t="s">
        <v>966</v>
      </c>
      <c r="B61" s="55" t="s">
        <v>588</v>
      </c>
      <c r="C61" s="56" t="s">
        <v>806</v>
      </c>
      <c r="D61" s="78" t="n">
        <f aca="false">Payment_Rules!B33</f>
        <v>8.76</v>
      </c>
      <c r="E61" s="58" t="s">
        <v>967</v>
      </c>
      <c r="F61" s="56" t="s">
        <v>735</v>
      </c>
      <c r="G61" s="56" t="s">
        <v>736</v>
      </c>
      <c r="H61" s="58" t="s">
        <v>331</v>
      </c>
      <c r="I61" s="55" t="s">
        <v>968</v>
      </c>
      <c r="J61" s="58" t="s">
        <v>132</v>
      </c>
      <c r="K61" s="55" t="s">
        <v>969</v>
      </c>
    </row>
    <row r="62" customFormat="false" ht="30" hidden="false" customHeight="true" outlineLevel="0" collapsed="false">
      <c r="A62" s="59" t="s">
        <v>970</v>
      </c>
      <c r="B62" s="60" t="s">
        <v>971</v>
      </c>
      <c r="C62" s="61" t="s">
        <v>806</v>
      </c>
      <c r="D62" s="73" t="n">
        <f aca="false">Medicare_PSPS!D58</f>
        <v>319815283.6</v>
      </c>
      <c r="E62" s="63" t="s">
        <v>972</v>
      </c>
      <c r="F62" s="61" t="s">
        <v>735</v>
      </c>
      <c r="G62" s="61" t="s">
        <v>736</v>
      </c>
      <c r="H62" s="63" t="s">
        <v>298</v>
      </c>
      <c r="I62" s="60" t="s">
        <v>973</v>
      </c>
      <c r="J62" s="63" t="s">
        <v>105</v>
      </c>
      <c r="K62" s="60" t="s">
        <v>974</v>
      </c>
    </row>
    <row r="63" customFormat="false" ht="30" hidden="false" customHeight="true" outlineLevel="0" collapsed="false">
      <c r="A63" s="54" t="s">
        <v>975</v>
      </c>
      <c r="B63" s="55" t="s">
        <v>976</v>
      </c>
      <c r="C63" s="56" t="s">
        <v>806</v>
      </c>
      <c r="D63" s="74" t="n">
        <f aca="false">Medicare_PSPS!D61</f>
        <v>577228322.31</v>
      </c>
      <c r="E63" s="58" t="s">
        <v>972</v>
      </c>
      <c r="F63" s="56" t="s">
        <v>751</v>
      </c>
      <c r="G63" s="56" t="s">
        <v>736</v>
      </c>
      <c r="H63" s="58" t="s">
        <v>298</v>
      </c>
      <c r="I63" s="55" t="s">
        <v>977</v>
      </c>
      <c r="J63" s="58" t="s">
        <v>105</v>
      </c>
      <c r="K63" s="55" t="s">
        <v>978</v>
      </c>
    </row>
    <row r="64" customFormat="false" ht="30" hidden="false" customHeight="true" outlineLevel="0" collapsed="false">
      <c r="A64" s="59" t="s">
        <v>979</v>
      </c>
      <c r="B64" s="60" t="s">
        <v>980</v>
      </c>
      <c r="C64" s="61" t="s">
        <v>806</v>
      </c>
      <c r="D64" s="69" t="n">
        <f aca="false">Medicare_PSPS!H50</f>
        <v>0.155895723333717</v>
      </c>
      <c r="E64" s="63" t="s">
        <v>764</v>
      </c>
      <c r="F64" s="61" t="s">
        <v>751</v>
      </c>
      <c r="G64" s="61" t="s">
        <v>736</v>
      </c>
      <c r="H64" s="63" t="s">
        <v>298</v>
      </c>
      <c r="I64" s="60" t="s">
        <v>981</v>
      </c>
      <c r="J64" s="63" t="s">
        <v>105</v>
      </c>
      <c r="K64" s="60" t="s">
        <v>982</v>
      </c>
    </row>
    <row r="65" customFormat="false" ht="30" hidden="false" customHeight="true" outlineLevel="0" collapsed="false">
      <c r="A65" s="54" t="s">
        <v>983</v>
      </c>
      <c r="B65" s="55" t="s">
        <v>984</v>
      </c>
      <c r="C65" s="56" t="s">
        <v>906</v>
      </c>
      <c r="D65" s="68" t="n">
        <f aca="false">Payment_Rules!B22</f>
        <v>0.02</v>
      </c>
      <c r="E65" s="58" t="s">
        <v>786</v>
      </c>
      <c r="F65" s="56" t="s">
        <v>735</v>
      </c>
      <c r="G65" s="56" t="s">
        <v>736</v>
      </c>
      <c r="H65" s="58" t="s">
        <v>907</v>
      </c>
      <c r="I65" s="55" t="s">
        <v>985</v>
      </c>
      <c r="J65" s="58" t="s">
        <v>132</v>
      </c>
      <c r="K65" s="55" t="s">
        <v>986</v>
      </c>
    </row>
    <row r="66" customFormat="false" ht="30" hidden="false" customHeight="true" outlineLevel="0" collapsed="false">
      <c r="A66" s="59" t="s">
        <v>987</v>
      </c>
      <c r="B66" s="60" t="s">
        <v>988</v>
      </c>
      <c r="C66" s="61" t="s">
        <v>806</v>
      </c>
      <c r="D66" s="79" t="n">
        <v>0.23</v>
      </c>
      <c r="E66" s="63" t="s">
        <v>764</v>
      </c>
      <c r="F66" s="61" t="s">
        <v>735</v>
      </c>
      <c r="G66" s="61" t="s">
        <v>736</v>
      </c>
      <c r="H66" s="63" t="s">
        <v>331</v>
      </c>
      <c r="I66" s="60" t="s">
        <v>968</v>
      </c>
      <c r="J66" s="63" t="s">
        <v>132</v>
      </c>
      <c r="K66" s="60" t="s">
        <v>989</v>
      </c>
    </row>
    <row r="67" customFormat="false" ht="30" hidden="false" customHeight="true" outlineLevel="0" collapsed="false">
      <c r="A67" s="54" t="s">
        <v>990</v>
      </c>
      <c r="B67" s="55" t="s">
        <v>991</v>
      </c>
      <c r="C67" s="56" t="s">
        <v>733</v>
      </c>
      <c r="D67" s="64" t="n">
        <f aca="false">Other_Transfer_Channels!B24</f>
        <v>6509053</v>
      </c>
      <c r="E67" s="58" t="s">
        <v>992</v>
      </c>
      <c r="F67" s="56" t="s">
        <v>751</v>
      </c>
      <c r="G67" s="56" t="s">
        <v>736</v>
      </c>
      <c r="H67" s="58" t="s">
        <v>96</v>
      </c>
      <c r="I67" s="55" t="s">
        <v>993</v>
      </c>
      <c r="J67" s="55" t="s">
        <v>994</v>
      </c>
      <c r="K67" s="55" t="s">
        <v>995</v>
      </c>
    </row>
    <row r="68" customFormat="false" ht="30" hidden="false" customHeight="true" outlineLevel="0" collapsed="false">
      <c r="A68" s="59" t="s">
        <v>996</v>
      </c>
      <c r="B68" s="60" t="s">
        <v>997</v>
      </c>
      <c r="C68" s="61" t="s">
        <v>733</v>
      </c>
      <c r="D68" s="80" t="n">
        <f aca="false">Other_Transfer_Channels!B25</f>
        <v>9438326</v>
      </c>
      <c r="E68" s="63" t="s">
        <v>992</v>
      </c>
      <c r="F68" s="61" t="s">
        <v>751</v>
      </c>
      <c r="G68" s="61" t="s">
        <v>736</v>
      </c>
      <c r="H68" s="63" t="s">
        <v>96</v>
      </c>
      <c r="I68" s="60"/>
      <c r="J68" s="60" t="s">
        <v>994</v>
      </c>
      <c r="K68" s="60" t="s">
        <v>998</v>
      </c>
    </row>
    <row r="69" customFormat="false" ht="30" hidden="false" customHeight="true" outlineLevel="0" collapsed="false">
      <c r="A69" s="54" t="s">
        <v>999</v>
      </c>
      <c r="B69" s="55" t="s">
        <v>1000</v>
      </c>
      <c r="C69" s="56" t="s">
        <v>733</v>
      </c>
      <c r="D69" s="81" t="n">
        <f aca="false">Other_Transfer_Channels!B27</f>
        <v>0.634794413592402</v>
      </c>
      <c r="E69" s="58" t="s">
        <v>764</v>
      </c>
      <c r="F69" s="56" t="s">
        <v>751</v>
      </c>
      <c r="G69" s="56" t="s">
        <v>736</v>
      </c>
      <c r="H69" s="58" t="s">
        <v>1001</v>
      </c>
      <c r="I69" s="55" t="s">
        <v>1002</v>
      </c>
      <c r="J69" s="55" t="s">
        <v>994</v>
      </c>
      <c r="K69" s="55" t="s">
        <v>1003</v>
      </c>
    </row>
    <row r="70" customFormat="false" ht="30" hidden="false" customHeight="true" outlineLevel="0" collapsed="false">
      <c r="A70" s="59" t="s">
        <v>1004</v>
      </c>
      <c r="B70" s="60" t="s">
        <v>1005</v>
      </c>
      <c r="C70" s="61" t="s">
        <v>806</v>
      </c>
      <c r="D70" s="77" t="n">
        <f aca="false">Medicare_PSPS!D62</f>
        <v>662.146642810521</v>
      </c>
      <c r="E70" s="63" t="s">
        <v>923</v>
      </c>
      <c r="F70" s="61" t="s">
        <v>751</v>
      </c>
      <c r="G70" s="61" t="s">
        <v>736</v>
      </c>
      <c r="H70" s="63" t="s">
        <v>298</v>
      </c>
      <c r="I70" s="60" t="s">
        <v>1006</v>
      </c>
      <c r="J70" s="63" t="s">
        <v>105</v>
      </c>
      <c r="K70" s="60" t="s">
        <v>1007</v>
      </c>
    </row>
    <row r="71" customFormat="false" ht="30" hidden="false" customHeight="true" outlineLevel="0" collapsed="false">
      <c r="A71" s="54" t="s">
        <v>1008</v>
      </c>
      <c r="B71" s="55" t="s">
        <v>1009</v>
      </c>
      <c r="C71" s="56" t="s">
        <v>806</v>
      </c>
      <c r="D71" s="74" t="n">
        <f aca="false">Medicare_PSPS!D59</f>
        <v>257413038.71</v>
      </c>
      <c r="E71" s="58" t="s">
        <v>972</v>
      </c>
      <c r="F71" s="56" t="s">
        <v>735</v>
      </c>
      <c r="G71" s="56" t="s">
        <v>736</v>
      </c>
      <c r="H71" s="58" t="s">
        <v>298</v>
      </c>
      <c r="I71" s="55" t="s">
        <v>1010</v>
      </c>
      <c r="J71" s="58" t="s">
        <v>105</v>
      </c>
      <c r="K71" s="55" t="s">
        <v>1011</v>
      </c>
    </row>
    <row r="72" customFormat="false" ht="16.5" hidden="false" customHeight="true" outlineLevel="0" collapsed="false">
      <c r="A72" s="59" t="s">
        <v>1012</v>
      </c>
      <c r="B72" s="60" t="s">
        <v>1013</v>
      </c>
      <c r="C72" s="61" t="s">
        <v>806</v>
      </c>
      <c r="D72" s="82" t="n">
        <f aca="false">Medicare_PSPS!D63</f>
        <v>33.5837226829159</v>
      </c>
      <c r="E72" s="63" t="s">
        <v>1014</v>
      </c>
      <c r="F72" s="61" t="s">
        <v>751</v>
      </c>
      <c r="G72" s="61" t="s">
        <v>736</v>
      </c>
      <c r="H72" s="63" t="s">
        <v>298</v>
      </c>
      <c r="I72" s="60" t="s">
        <v>1015</v>
      </c>
      <c r="J72" s="63" t="s">
        <v>105</v>
      </c>
      <c r="K72" s="60" t="s">
        <v>1016</v>
      </c>
    </row>
    <row r="73" customFormat="false" ht="30" hidden="false" customHeight="true" outlineLevel="0" collapsed="false">
      <c r="A73" s="54" t="s">
        <v>1017</v>
      </c>
      <c r="B73" s="55" t="s">
        <v>1018</v>
      </c>
      <c r="C73" s="56" t="s">
        <v>806</v>
      </c>
      <c r="D73" s="78" t="n">
        <f aca="false">Medicare_PSPS!D64</f>
        <v>8.79241656311735</v>
      </c>
      <c r="E73" s="58" t="s">
        <v>1019</v>
      </c>
      <c r="F73" s="56" t="s">
        <v>751</v>
      </c>
      <c r="G73" s="56" t="s">
        <v>736</v>
      </c>
      <c r="H73" s="58" t="s">
        <v>298</v>
      </c>
      <c r="I73" s="55" t="s">
        <v>1020</v>
      </c>
      <c r="J73" s="58" t="s">
        <v>105</v>
      </c>
      <c r="K73" s="55" t="s">
        <v>1021</v>
      </c>
    </row>
    <row r="74" customFormat="false" ht="30" hidden="false" customHeight="true" outlineLevel="0" collapsed="false">
      <c r="A74" s="59" t="s">
        <v>1022</v>
      </c>
      <c r="B74" s="60" t="s">
        <v>1023</v>
      </c>
      <c r="C74" s="61" t="s">
        <v>806</v>
      </c>
      <c r="D74" s="73" t="n">
        <f aca="false">Medicare_PSPS!D70</f>
        <v>5073090003</v>
      </c>
      <c r="E74" s="63" t="s">
        <v>972</v>
      </c>
      <c r="F74" s="61" t="s">
        <v>735</v>
      </c>
      <c r="G74" s="61" t="s">
        <v>736</v>
      </c>
      <c r="H74" s="63" t="s">
        <v>298</v>
      </c>
      <c r="I74" s="60" t="s">
        <v>1024</v>
      </c>
      <c r="J74" s="63" t="s">
        <v>105</v>
      </c>
      <c r="K74" s="60" t="s">
        <v>1025</v>
      </c>
    </row>
    <row r="75" customFormat="false" ht="30" hidden="false" customHeight="true" outlineLevel="0" collapsed="false">
      <c r="A75" s="54" t="s">
        <v>1026</v>
      </c>
      <c r="B75" s="55" t="s">
        <v>1027</v>
      </c>
      <c r="C75" s="56" t="s">
        <v>806</v>
      </c>
      <c r="D75" s="74" t="n">
        <f aca="false">Medicare_PSPS!D71</f>
        <v>3957457371</v>
      </c>
      <c r="E75" s="58" t="s">
        <v>972</v>
      </c>
      <c r="F75" s="56" t="s">
        <v>735</v>
      </c>
      <c r="G75" s="56" t="s">
        <v>736</v>
      </c>
      <c r="H75" s="58" t="s">
        <v>298</v>
      </c>
      <c r="I75" s="55" t="s">
        <v>1028</v>
      </c>
      <c r="J75" s="58" t="s">
        <v>105</v>
      </c>
      <c r="K75" s="55" t="s">
        <v>1029</v>
      </c>
    </row>
    <row r="76" customFormat="false" ht="30" hidden="false" customHeight="true" outlineLevel="0" collapsed="false">
      <c r="A76" s="59" t="s">
        <v>1030</v>
      </c>
      <c r="B76" s="60" t="s">
        <v>1031</v>
      </c>
      <c r="C76" s="61" t="s">
        <v>806</v>
      </c>
      <c r="D76" s="69" t="n">
        <f aca="false">Medicare_PSPS!D72</f>
        <v>0.113782393367485</v>
      </c>
      <c r="E76" s="63" t="s">
        <v>764</v>
      </c>
      <c r="F76" s="61" t="s">
        <v>751</v>
      </c>
      <c r="G76" s="61" t="s">
        <v>736</v>
      </c>
      <c r="H76" s="63" t="s">
        <v>298</v>
      </c>
      <c r="I76" s="60"/>
      <c r="J76" s="63" t="s">
        <v>105</v>
      </c>
      <c r="K76" s="60" t="s">
        <v>1032</v>
      </c>
    </row>
    <row r="77" customFormat="false" ht="30" hidden="false" customHeight="true" outlineLevel="0" collapsed="false">
      <c r="A77" s="54" t="s">
        <v>1033</v>
      </c>
      <c r="B77" s="55" t="s">
        <v>1034</v>
      </c>
      <c r="C77" s="56" t="s">
        <v>806</v>
      </c>
      <c r="D77" s="74" t="n">
        <f aca="false">Cost_and_Capacity!C61</f>
        <v>1340</v>
      </c>
      <c r="E77" s="58" t="s">
        <v>923</v>
      </c>
      <c r="F77" s="56" t="s">
        <v>735</v>
      </c>
      <c r="G77" s="56" t="s">
        <v>736</v>
      </c>
      <c r="H77" s="58" t="s">
        <v>314</v>
      </c>
      <c r="I77" s="55" t="s">
        <v>928</v>
      </c>
      <c r="J77" s="58" t="s">
        <v>144</v>
      </c>
      <c r="K77" s="55" t="s">
        <v>1035</v>
      </c>
    </row>
    <row r="78" customFormat="false" ht="30" hidden="false" customHeight="true" outlineLevel="0" collapsed="false">
      <c r="A78" s="59" t="s">
        <v>1036</v>
      </c>
      <c r="B78" s="60" t="s">
        <v>1037</v>
      </c>
      <c r="C78" s="61" t="s">
        <v>806</v>
      </c>
      <c r="D78" s="73" t="n">
        <f aca="false">Cost_and_Capacity!C63</f>
        <v>811</v>
      </c>
      <c r="E78" s="63" t="s">
        <v>963</v>
      </c>
      <c r="F78" s="61" t="s">
        <v>735</v>
      </c>
      <c r="G78" s="61" t="s">
        <v>736</v>
      </c>
      <c r="H78" s="63" t="s">
        <v>314</v>
      </c>
      <c r="I78" s="60" t="s">
        <v>928</v>
      </c>
      <c r="J78" s="63" t="s">
        <v>144</v>
      </c>
      <c r="K78" s="60" t="s">
        <v>1038</v>
      </c>
    </row>
    <row r="79" customFormat="false" ht="30" hidden="false" customHeight="true" outlineLevel="0" collapsed="false">
      <c r="A79" s="54" t="s">
        <v>1039</v>
      </c>
      <c r="B79" s="55" t="s">
        <v>1040</v>
      </c>
      <c r="C79" s="56" t="s">
        <v>806</v>
      </c>
      <c r="D79" s="74" t="n">
        <f aca="false">Cost_and_Capacity!B65</f>
        <v>946</v>
      </c>
      <c r="E79" s="58" t="s">
        <v>923</v>
      </c>
      <c r="F79" s="56" t="s">
        <v>735</v>
      </c>
      <c r="G79" s="56" t="s">
        <v>736</v>
      </c>
      <c r="H79" s="58" t="s">
        <v>314</v>
      </c>
      <c r="I79" s="55" t="s">
        <v>928</v>
      </c>
      <c r="J79" s="58" t="s">
        <v>144</v>
      </c>
      <c r="K79" s="55" t="s">
        <v>1041</v>
      </c>
    </row>
    <row r="80" customFormat="false" ht="42" hidden="false" customHeight="true" outlineLevel="0" collapsed="false">
      <c r="A80" s="59" t="s">
        <v>1042</v>
      </c>
      <c r="B80" s="60" t="s">
        <v>1043</v>
      </c>
      <c r="C80" s="61" t="s">
        <v>733</v>
      </c>
      <c r="D80" s="83" t="n">
        <v>3900000000</v>
      </c>
      <c r="E80" s="63" t="s">
        <v>972</v>
      </c>
      <c r="F80" s="61" t="s">
        <v>735</v>
      </c>
      <c r="G80" s="61" t="s">
        <v>736</v>
      </c>
      <c r="H80" s="63" t="s">
        <v>331</v>
      </c>
      <c r="I80" s="60" t="s">
        <v>562</v>
      </c>
      <c r="J80" s="63" t="s">
        <v>132</v>
      </c>
      <c r="K80" s="84" t="s">
        <v>1044</v>
      </c>
    </row>
    <row r="81" customFormat="false" ht="42" hidden="false" customHeight="true" outlineLevel="0" collapsed="false">
      <c r="A81" s="54" t="s">
        <v>1045</v>
      </c>
      <c r="B81" s="55" t="s">
        <v>1046</v>
      </c>
      <c r="C81" s="56" t="s">
        <v>741</v>
      </c>
      <c r="D81" s="85" t="n">
        <v>5300000000</v>
      </c>
      <c r="E81" s="58" t="s">
        <v>972</v>
      </c>
      <c r="F81" s="56" t="s">
        <v>1047</v>
      </c>
      <c r="G81" s="56" t="s">
        <v>845</v>
      </c>
      <c r="H81" s="58" t="s">
        <v>331</v>
      </c>
      <c r="I81" s="55" t="s">
        <v>1048</v>
      </c>
      <c r="J81" s="58" t="s">
        <v>132</v>
      </c>
      <c r="K81" s="55" t="s">
        <v>1049</v>
      </c>
    </row>
    <row r="82" customFormat="false" ht="30" hidden="false" customHeight="true" outlineLevel="0" collapsed="false">
      <c r="A82" s="59" t="s">
        <v>1050</v>
      </c>
      <c r="B82" s="60" t="s">
        <v>1051</v>
      </c>
      <c r="C82" s="61" t="s">
        <v>741</v>
      </c>
      <c r="D82" s="86" t="n">
        <v>4489</v>
      </c>
      <c r="E82" s="63" t="s">
        <v>1052</v>
      </c>
      <c r="F82" s="61" t="s">
        <v>735</v>
      </c>
      <c r="G82" s="61" t="s">
        <v>736</v>
      </c>
      <c r="H82" s="63" t="s">
        <v>862</v>
      </c>
      <c r="I82" s="60" t="s">
        <v>621</v>
      </c>
      <c r="J82" s="63" t="s">
        <v>1053</v>
      </c>
      <c r="K82" s="60" t="s">
        <v>1054</v>
      </c>
    </row>
    <row r="83" customFormat="false" ht="30" hidden="false" customHeight="true" outlineLevel="0" collapsed="false">
      <c r="A83" s="87" t="s">
        <v>1055</v>
      </c>
      <c r="B83" s="44" t="s">
        <v>1056</v>
      </c>
      <c r="C83" s="88" t="s">
        <v>1057</v>
      </c>
      <c r="D83" s="64" t="n">
        <f aca="false">Medicare_IFT_Series!B12</f>
        <v>1139524</v>
      </c>
      <c r="E83" s="89" t="s">
        <v>831</v>
      </c>
      <c r="F83" s="88" t="s">
        <v>735</v>
      </c>
      <c r="G83" s="88" t="s">
        <v>736</v>
      </c>
      <c r="H83" s="89" t="s">
        <v>112</v>
      </c>
      <c r="I83" s="44" t="s">
        <v>1058</v>
      </c>
      <c r="J83" s="89" t="s">
        <v>109</v>
      </c>
      <c r="K83" s="44" t="s">
        <v>1059</v>
      </c>
    </row>
    <row r="84" customFormat="false" ht="30" hidden="false" customHeight="true" outlineLevel="0" collapsed="false">
      <c r="A84" s="90" t="s">
        <v>1060</v>
      </c>
      <c r="B84" s="46" t="s">
        <v>1061</v>
      </c>
      <c r="C84" s="91" t="s">
        <v>1062</v>
      </c>
      <c r="D84" s="80" t="n">
        <f aca="false">Medicare_IFT_Series!B5</f>
        <v>937317</v>
      </c>
      <c r="E84" s="92" t="s">
        <v>831</v>
      </c>
      <c r="F84" s="91" t="s">
        <v>735</v>
      </c>
      <c r="G84" s="91" t="s">
        <v>736</v>
      </c>
      <c r="H84" s="92" t="s">
        <v>112</v>
      </c>
      <c r="I84" s="46" t="s">
        <v>1063</v>
      </c>
      <c r="J84" s="92" t="s">
        <v>109</v>
      </c>
      <c r="K84" s="46" t="s">
        <v>1064</v>
      </c>
    </row>
    <row r="85" customFormat="false" ht="30" hidden="false" customHeight="true" outlineLevel="0" collapsed="false">
      <c r="A85" s="87" t="s">
        <v>1065</v>
      </c>
      <c r="B85" s="44" t="s">
        <v>1066</v>
      </c>
      <c r="C85" s="88" t="s">
        <v>1057</v>
      </c>
      <c r="D85" s="70" t="n">
        <f aca="false">Medicare_IFT_Series!B25</f>
        <v>0.0282993681497363</v>
      </c>
      <c r="E85" s="89" t="s">
        <v>786</v>
      </c>
      <c r="F85" s="88" t="s">
        <v>751</v>
      </c>
      <c r="G85" s="88" t="s">
        <v>736</v>
      </c>
      <c r="H85" s="89" t="s">
        <v>112</v>
      </c>
      <c r="I85" s="44"/>
      <c r="J85" s="89" t="s">
        <v>109</v>
      </c>
      <c r="K85" s="44" t="s">
        <v>1067</v>
      </c>
    </row>
    <row r="86" customFormat="false" ht="30" hidden="false" customHeight="true" outlineLevel="0" collapsed="false">
      <c r="A86" s="90" t="s">
        <v>1068</v>
      </c>
      <c r="B86" s="46" t="s">
        <v>1069</v>
      </c>
      <c r="C86" s="91" t="s">
        <v>806</v>
      </c>
      <c r="D86" s="67" t="n">
        <f aca="false">Medicare_IFT_Series!B26</f>
        <v>-0.0375428019304301</v>
      </c>
      <c r="E86" s="92" t="s">
        <v>786</v>
      </c>
      <c r="F86" s="91" t="s">
        <v>751</v>
      </c>
      <c r="G86" s="91" t="s">
        <v>736</v>
      </c>
      <c r="H86" s="92" t="s">
        <v>112</v>
      </c>
      <c r="I86" s="46"/>
      <c r="J86" s="92" t="s">
        <v>109</v>
      </c>
      <c r="K86" s="46" t="s">
        <v>1070</v>
      </c>
    </row>
    <row r="87" customFormat="false" ht="30" hidden="false" customHeight="true" outlineLevel="0" collapsed="false">
      <c r="A87" s="87" t="s">
        <v>1071</v>
      </c>
      <c r="B87" s="44" t="s">
        <v>1072</v>
      </c>
      <c r="C87" s="88" t="s">
        <v>806</v>
      </c>
      <c r="D87" s="81" t="n">
        <f aca="false">Medicare_IFT_Series!B24</f>
        <v>-0.23498495863185</v>
      </c>
      <c r="E87" s="89" t="s">
        <v>764</v>
      </c>
      <c r="F87" s="88" t="s">
        <v>751</v>
      </c>
      <c r="G87" s="88" t="s">
        <v>736</v>
      </c>
      <c r="H87" s="89" t="s">
        <v>112</v>
      </c>
      <c r="I87" s="44"/>
      <c r="J87" s="89" t="s">
        <v>109</v>
      </c>
      <c r="K87" s="44" t="s">
        <v>1073</v>
      </c>
    </row>
    <row r="88" customFormat="false" ht="30" hidden="false" customHeight="true" outlineLevel="0" collapsed="false">
      <c r="A88" s="90" t="s">
        <v>1074</v>
      </c>
      <c r="B88" s="46" t="s">
        <v>1075</v>
      </c>
      <c r="C88" s="91" t="s">
        <v>806</v>
      </c>
      <c r="D88" s="67" t="n">
        <f aca="false">Medicare_IFT_Series!B28</f>
        <v>0.0137583699234487</v>
      </c>
      <c r="E88" s="92" t="s">
        <v>786</v>
      </c>
      <c r="F88" s="91" t="s">
        <v>751</v>
      </c>
      <c r="G88" s="91" t="s">
        <v>736</v>
      </c>
      <c r="H88" s="92" t="s">
        <v>112</v>
      </c>
      <c r="I88" s="46"/>
      <c r="J88" s="92" t="s">
        <v>109</v>
      </c>
      <c r="K88" s="46" t="s">
        <v>1076</v>
      </c>
    </row>
    <row r="89" customFormat="false" ht="30" hidden="false" customHeight="true" outlineLevel="0" collapsed="false">
      <c r="A89" s="87" t="s">
        <v>1077</v>
      </c>
      <c r="B89" s="44" t="s">
        <v>1078</v>
      </c>
      <c r="C89" s="88" t="s">
        <v>806</v>
      </c>
      <c r="D89" s="70" t="n">
        <f aca="false">Medicare_IFT_Series!B30</f>
        <v>0.0190229286225185</v>
      </c>
      <c r="E89" s="89" t="s">
        <v>786</v>
      </c>
      <c r="F89" s="88" t="s">
        <v>751</v>
      </c>
      <c r="G89" s="88" t="s">
        <v>736</v>
      </c>
      <c r="H89" s="89" t="s">
        <v>112</v>
      </c>
      <c r="I89" s="44"/>
      <c r="J89" s="89" t="s">
        <v>109</v>
      </c>
      <c r="K89" s="44" t="s">
        <v>1079</v>
      </c>
    </row>
    <row r="90" customFormat="false" ht="30" hidden="false" customHeight="true" outlineLevel="0" collapsed="false">
      <c r="A90" s="90" t="s">
        <v>1080</v>
      </c>
      <c r="B90" s="46" t="s">
        <v>1081</v>
      </c>
      <c r="C90" s="91" t="s">
        <v>1062</v>
      </c>
      <c r="D90" s="93" t="n">
        <f aca="false">Medicare_IFT_Series!B34</f>
        <v>1.47193766889964</v>
      </c>
      <c r="E90" s="92" t="s">
        <v>901</v>
      </c>
      <c r="F90" s="91" t="s">
        <v>751</v>
      </c>
      <c r="G90" s="91" t="s">
        <v>736</v>
      </c>
      <c r="H90" s="92" t="s">
        <v>1082</v>
      </c>
      <c r="I90" s="46"/>
      <c r="J90" s="92" t="s">
        <v>109</v>
      </c>
      <c r="K90" s="46" t="s">
        <v>1083</v>
      </c>
    </row>
    <row r="91" customFormat="false" ht="30" hidden="false" customHeight="true" outlineLevel="0" collapsed="false">
      <c r="A91" s="87" t="s">
        <v>1084</v>
      </c>
      <c r="B91" s="44" t="s">
        <v>1085</v>
      </c>
      <c r="C91" s="88" t="s">
        <v>1062</v>
      </c>
      <c r="D91" s="81" t="n">
        <f aca="false">Medicare_IFT_Series!B32</f>
        <v>0.430460195697853</v>
      </c>
      <c r="E91" s="89" t="s">
        <v>764</v>
      </c>
      <c r="F91" s="88" t="s">
        <v>751</v>
      </c>
      <c r="G91" s="88" t="s">
        <v>736</v>
      </c>
      <c r="H91" s="89" t="s">
        <v>112</v>
      </c>
      <c r="I91" s="44"/>
      <c r="J91" s="89" t="s">
        <v>109</v>
      </c>
      <c r="K91" s="44" t="s">
        <v>1086</v>
      </c>
    </row>
    <row r="92" customFormat="false" ht="30" hidden="false" customHeight="true" outlineLevel="0" collapsed="false">
      <c r="A92" s="90" t="s">
        <v>1087</v>
      </c>
      <c r="B92" s="46" t="s">
        <v>1088</v>
      </c>
      <c r="C92" s="91" t="s">
        <v>806</v>
      </c>
      <c r="D92" s="86" t="n">
        <v>11300000</v>
      </c>
      <c r="E92" s="92" t="s">
        <v>831</v>
      </c>
      <c r="F92" s="91" t="s">
        <v>735</v>
      </c>
      <c r="G92" s="91" t="s">
        <v>736</v>
      </c>
      <c r="H92" s="92" t="s">
        <v>350</v>
      </c>
      <c r="I92" s="46" t="s">
        <v>1089</v>
      </c>
      <c r="J92" s="92" t="s">
        <v>1090</v>
      </c>
      <c r="K92" s="46" t="s">
        <v>1091</v>
      </c>
    </row>
    <row r="93" customFormat="false" ht="30" hidden="false" customHeight="true" outlineLevel="0" collapsed="false">
      <c r="A93" s="87" t="s">
        <v>1092</v>
      </c>
      <c r="B93" s="44" t="s">
        <v>1093</v>
      </c>
      <c r="C93" s="88" t="s">
        <v>806</v>
      </c>
      <c r="D93" s="85" t="n">
        <v>5300000000</v>
      </c>
      <c r="E93" s="89" t="s">
        <v>972</v>
      </c>
      <c r="F93" s="88" t="s">
        <v>735</v>
      </c>
      <c r="G93" s="88" t="s">
        <v>736</v>
      </c>
      <c r="H93" s="89" t="s">
        <v>350</v>
      </c>
      <c r="I93" s="44" t="s">
        <v>1089</v>
      </c>
      <c r="J93" s="89" t="s">
        <v>1090</v>
      </c>
      <c r="K93" s="44" t="s">
        <v>1094</v>
      </c>
    </row>
    <row r="94" customFormat="false" ht="30" hidden="false" customHeight="true" outlineLevel="0" collapsed="false">
      <c r="A94" s="90" t="s">
        <v>1095</v>
      </c>
      <c r="B94" s="46" t="s">
        <v>1096</v>
      </c>
      <c r="C94" s="91" t="s">
        <v>741</v>
      </c>
      <c r="D94" s="83" t="n">
        <v>2878</v>
      </c>
      <c r="E94" s="92" t="s">
        <v>923</v>
      </c>
      <c r="F94" s="91" t="s">
        <v>735</v>
      </c>
      <c r="G94" s="91" t="s">
        <v>736</v>
      </c>
      <c r="H94" s="92" t="s">
        <v>350</v>
      </c>
      <c r="I94" s="46" t="s">
        <v>1097</v>
      </c>
      <c r="J94" s="92" t="s">
        <v>1090</v>
      </c>
      <c r="K94" s="46" t="s">
        <v>1098</v>
      </c>
    </row>
    <row r="95" customFormat="false" ht="30" hidden="false" customHeight="true" outlineLevel="0" collapsed="false">
      <c r="A95" s="87" t="s">
        <v>1099</v>
      </c>
      <c r="B95" s="44" t="s">
        <v>1100</v>
      </c>
      <c r="C95" s="88" t="s">
        <v>741</v>
      </c>
      <c r="D95" s="85" t="n">
        <v>918</v>
      </c>
      <c r="E95" s="89" t="s">
        <v>923</v>
      </c>
      <c r="F95" s="88" t="s">
        <v>735</v>
      </c>
      <c r="G95" s="88" t="s">
        <v>736</v>
      </c>
      <c r="H95" s="89" t="s">
        <v>350</v>
      </c>
      <c r="I95" s="44" t="s">
        <v>1097</v>
      </c>
      <c r="J95" s="89" t="s">
        <v>1090</v>
      </c>
      <c r="K95" s="44" t="s">
        <v>1101</v>
      </c>
    </row>
    <row r="96" customFormat="false" ht="30" hidden="false" customHeight="true" outlineLevel="0" collapsed="false">
      <c r="A96" s="90" t="s">
        <v>1102</v>
      </c>
      <c r="B96" s="46" t="s">
        <v>1103</v>
      </c>
      <c r="C96" s="91" t="s">
        <v>741</v>
      </c>
      <c r="D96" s="83" t="n">
        <v>563</v>
      </c>
      <c r="E96" s="92" t="s">
        <v>923</v>
      </c>
      <c r="F96" s="91" t="s">
        <v>735</v>
      </c>
      <c r="G96" s="91" t="s">
        <v>736</v>
      </c>
      <c r="H96" s="92" t="s">
        <v>350</v>
      </c>
      <c r="I96" s="46" t="s">
        <v>1097</v>
      </c>
      <c r="J96" s="92" t="s">
        <v>1090</v>
      </c>
      <c r="K96" s="46" t="s">
        <v>1104</v>
      </c>
    </row>
    <row r="97" customFormat="false" ht="30" hidden="false" customHeight="true" outlineLevel="0" collapsed="false">
      <c r="A97" s="87" t="s">
        <v>1105</v>
      </c>
      <c r="B97" s="44" t="s">
        <v>1106</v>
      </c>
      <c r="C97" s="88" t="s">
        <v>741</v>
      </c>
      <c r="D97" s="85" t="n">
        <v>636</v>
      </c>
      <c r="E97" s="89" t="s">
        <v>923</v>
      </c>
      <c r="F97" s="88" t="s">
        <v>735</v>
      </c>
      <c r="G97" s="88" t="s">
        <v>736</v>
      </c>
      <c r="H97" s="89" t="s">
        <v>350</v>
      </c>
      <c r="I97" s="44" t="s">
        <v>1097</v>
      </c>
      <c r="J97" s="89" t="s">
        <v>1090</v>
      </c>
      <c r="K97" s="44" t="s">
        <v>1107</v>
      </c>
    </row>
    <row r="98" customFormat="false" ht="30" hidden="false" customHeight="true" outlineLevel="0" collapsed="false">
      <c r="A98" s="90" t="s">
        <v>1108</v>
      </c>
      <c r="B98" s="46" t="s">
        <v>1109</v>
      </c>
      <c r="C98" s="91" t="s">
        <v>741</v>
      </c>
      <c r="D98" s="94" t="n">
        <v>0.77</v>
      </c>
      <c r="E98" s="92" t="s">
        <v>1110</v>
      </c>
      <c r="F98" s="91" t="s">
        <v>735</v>
      </c>
      <c r="G98" s="91" t="s">
        <v>736</v>
      </c>
      <c r="H98" s="92" t="s">
        <v>350</v>
      </c>
      <c r="I98" s="46" t="s">
        <v>1111</v>
      </c>
      <c r="J98" s="92" t="s">
        <v>1090</v>
      </c>
      <c r="K98" s="46" t="s">
        <v>1112</v>
      </c>
    </row>
    <row r="99" customFormat="false" ht="30" hidden="false" customHeight="true" outlineLevel="0" collapsed="false">
      <c r="A99" s="87" t="s">
        <v>1113</v>
      </c>
      <c r="B99" s="44" t="s">
        <v>1114</v>
      </c>
      <c r="C99" s="88" t="s">
        <v>741</v>
      </c>
      <c r="D99" s="85" t="n">
        <v>322</v>
      </c>
      <c r="E99" s="89" t="s">
        <v>923</v>
      </c>
      <c r="F99" s="88" t="s">
        <v>735</v>
      </c>
      <c r="G99" s="88" t="s">
        <v>736</v>
      </c>
      <c r="H99" s="89" t="s">
        <v>350</v>
      </c>
      <c r="I99" s="44" t="s">
        <v>1089</v>
      </c>
      <c r="J99" s="89" t="s">
        <v>1090</v>
      </c>
      <c r="K99" s="44" t="s">
        <v>1115</v>
      </c>
    </row>
    <row r="100" customFormat="false" ht="30" hidden="false" customHeight="true" outlineLevel="0" collapsed="false">
      <c r="A100" s="90" t="s">
        <v>1116</v>
      </c>
      <c r="B100" s="46" t="s">
        <v>1117</v>
      </c>
      <c r="C100" s="91" t="s">
        <v>806</v>
      </c>
      <c r="D100" s="83" t="n">
        <v>510451782</v>
      </c>
      <c r="E100" s="92" t="s">
        <v>972</v>
      </c>
      <c r="F100" s="91" t="s">
        <v>735</v>
      </c>
      <c r="G100" s="91" t="s">
        <v>736</v>
      </c>
      <c r="H100" s="92" t="s">
        <v>298</v>
      </c>
      <c r="I100" s="46" t="s">
        <v>1118</v>
      </c>
      <c r="J100" s="92" t="s">
        <v>105</v>
      </c>
      <c r="K100" s="46" t="s">
        <v>1119</v>
      </c>
    </row>
    <row r="101" customFormat="false" ht="30" hidden="false" customHeight="true" outlineLevel="0" collapsed="false">
      <c r="A101" s="87" t="s">
        <v>1120</v>
      </c>
      <c r="B101" s="44" t="s">
        <v>1121</v>
      </c>
      <c r="C101" s="88" t="s">
        <v>1122</v>
      </c>
      <c r="D101" s="95" t="n">
        <f aca="false">Demand_Drivers!C24</f>
        <v>287</v>
      </c>
      <c r="E101" s="89" t="s">
        <v>1123</v>
      </c>
      <c r="F101" s="88" t="s">
        <v>735</v>
      </c>
      <c r="G101" s="88" t="s">
        <v>736</v>
      </c>
      <c r="H101" s="89" t="s">
        <v>357</v>
      </c>
      <c r="I101" s="44" t="s">
        <v>1124</v>
      </c>
      <c r="J101" s="89" t="s">
        <v>1125</v>
      </c>
      <c r="K101" s="44" t="s">
        <v>1126</v>
      </c>
    </row>
    <row r="102" customFormat="false" ht="30" hidden="false" customHeight="true" outlineLevel="0" collapsed="false">
      <c r="A102" s="90" t="s">
        <v>1127</v>
      </c>
      <c r="B102" s="46" t="s">
        <v>1128</v>
      </c>
      <c r="C102" s="91" t="s">
        <v>1122</v>
      </c>
      <c r="D102" s="96" t="n">
        <f aca="false">Demand_Drivers!C21</f>
        <v>161</v>
      </c>
      <c r="E102" s="92" t="s">
        <v>1123</v>
      </c>
      <c r="F102" s="91" t="s">
        <v>735</v>
      </c>
      <c r="G102" s="91" t="s">
        <v>736</v>
      </c>
      <c r="H102" s="92" t="s">
        <v>357</v>
      </c>
      <c r="I102" s="46" t="s">
        <v>1124</v>
      </c>
      <c r="J102" s="92" t="s">
        <v>1125</v>
      </c>
      <c r="K102" s="46" t="s">
        <v>1129</v>
      </c>
    </row>
    <row r="103" customFormat="false" ht="30" hidden="false" customHeight="true" outlineLevel="0" collapsed="false">
      <c r="A103" s="87" t="s">
        <v>1130</v>
      </c>
      <c r="B103" s="44" t="s">
        <v>1131</v>
      </c>
      <c r="C103" s="88" t="s">
        <v>1122</v>
      </c>
      <c r="D103" s="95" t="n">
        <f aca="false">Demand_Drivers!E24</f>
        <v>126</v>
      </c>
      <c r="E103" s="89" t="s">
        <v>1123</v>
      </c>
      <c r="F103" s="88" t="s">
        <v>751</v>
      </c>
      <c r="G103" s="88" t="s">
        <v>736</v>
      </c>
      <c r="H103" s="89" t="s">
        <v>357</v>
      </c>
      <c r="I103" s="44"/>
      <c r="J103" s="89" t="s">
        <v>1125</v>
      </c>
      <c r="K103" s="44" t="s">
        <v>1132</v>
      </c>
    </row>
    <row r="104" customFormat="false" ht="30" hidden="false" customHeight="true" outlineLevel="0" collapsed="false">
      <c r="A104" s="90" t="s">
        <v>1133</v>
      </c>
      <c r="B104" s="46" t="s">
        <v>1134</v>
      </c>
      <c r="C104" s="91" t="s">
        <v>1122</v>
      </c>
      <c r="D104" s="96" t="n">
        <f aca="false">Demand_Drivers!D24</f>
        <v>187</v>
      </c>
      <c r="E104" s="92" t="s">
        <v>1123</v>
      </c>
      <c r="F104" s="91" t="s">
        <v>735</v>
      </c>
      <c r="G104" s="91" t="s">
        <v>736</v>
      </c>
      <c r="H104" s="92" t="s">
        <v>357</v>
      </c>
      <c r="I104" s="46" t="s">
        <v>1124</v>
      </c>
      <c r="J104" s="92" t="s">
        <v>1125</v>
      </c>
      <c r="K104" s="46" t="s">
        <v>1135</v>
      </c>
    </row>
    <row r="105" customFormat="false" ht="30" hidden="false" customHeight="true" outlineLevel="0" collapsed="false">
      <c r="A105" s="87" t="s">
        <v>1136</v>
      </c>
      <c r="B105" s="44" t="s">
        <v>1137</v>
      </c>
      <c r="C105" s="88" t="s">
        <v>1122</v>
      </c>
      <c r="D105" s="95" t="n">
        <f aca="false">Demand_Drivers!C23</f>
        <v>259</v>
      </c>
      <c r="E105" s="89" t="s">
        <v>1123</v>
      </c>
      <c r="F105" s="88" t="s">
        <v>735</v>
      </c>
      <c r="G105" s="88" t="s">
        <v>736</v>
      </c>
      <c r="H105" s="89" t="s">
        <v>357</v>
      </c>
      <c r="I105" s="44" t="s">
        <v>1124</v>
      </c>
      <c r="J105" s="89" t="s">
        <v>1125</v>
      </c>
      <c r="K105" s="44" t="s">
        <v>1138</v>
      </c>
    </row>
    <row r="106" customFormat="false" ht="30" hidden="false" customHeight="true" outlineLevel="0" collapsed="false">
      <c r="A106" s="90" t="s">
        <v>1139</v>
      </c>
      <c r="B106" s="46" t="s">
        <v>1140</v>
      </c>
      <c r="C106" s="91" t="s">
        <v>1122</v>
      </c>
      <c r="D106" s="62" t="n">
        <f aca="false">Demand_Drivers!B33</f>
        <v>2340</v>
      </c>
      <c r="E106" s="92" t="s">
        <v>1141</v>
      </c>
      <c r="F106" s="91" t="s">
        <v>735</v>
      </c>
      <c r="G106" s="91" t="s">
        <v>736</v>
      </c>
      <c r="H106" s="92" t="s">
        <v>357</v>
      </c>
      <c r="I106" s="46" t="s">
        <v>1142</v>
      </c>
      <c r="J106" s="92" t="s">
        <v>1125</v>
      </c>
      <c r="K106" s="46" t="s">
        <v>1143</v>
      </c>
    </row>
    <row r="107" customFormat="false" ht="30" hidden="false" customHeight="true" outlineLevel="0" collapsed="false">
      <c r="A107" s="87" t="s">
        <v>1144</v>
      </c>
      <c r="B107" s="44" t="s">
        <v>1145</v>
      </c>
      <c r="C107" s="88" t="s">
        <v>1122</v>
      </c>
      <c r="D107" s="57" t="n">
        <f aca="false">Demand_Drivers!B42</f>
        <v>153</v>
      </c>
      <c r="E107" s="89" t="s">
        <v>1141</v>
      </c>
      <c r="F107" s="88" t="s">
        <v>735</v>
      </c>
      <c r="G107" s="88" t="s">
        <v>736</v>
      </c>
      <c r="H107" s="89" t="s">
        <v>357</v>
      </c>
      <c r="I107" s="44" t="s">
        <v>1142</v>
      </c>
      <c r="J107" s="89" t="s">
        <v>1125</v>
      </c>
      <c r="K107" s="44" t="s">
        <v>1146</v>
      </c>
    </row>
    <row r="108" customFormat="false" ht="16.5" hidden="false" customHeight="true" outlineLevel="0" collapsed="false">
      <c r="A108" s="90" t="s">
        <v>1147</v>
      </c>
      <c r="B108" s="46" t="s">
        <v>1148</v>
      </c>
      <c r="C108" s="91" t="s">
        <v>806</v>
      </c>
      <c r="D108" s="62" t="n">
        <f aca="false">Demand_Drivers!D8</f>
        <v>3567</v>
      </c>
      <c r="E108" s="92" t="s">
        <v>1141</v>
      </c>
      <c r="F108" s="91" t="s">
        <v>1047</v>
      </c>
      <c r="G108" s="91" t="s">
        <v>845</v>
      </c>
      <c r="H108" s="92" t="s">
        <v>807</v>
      </c>
      <c r="I108" s="46" t="s">
        <v>1149</v>
      </c>
      <c r="J108" s="92" t="s">
        <v>1125</v>
      </c>
      <c r="K108" s="46" t="s">
        <v>1150</v>
      </c>
    </row>
    <row r="109" customFormat="false" ht="16.5" hidden="false" customHeight="true" outlineLevel="0" collapsed="false">
      <c r="A109" s="87" t="s">
        <v>1151</v>
      </c>
      <c r="B109" s="44" t="s">
        <v>1152</v>
      </c>
      <c r="C109" s="88" t="s">
        <v>1153</v>
      </c>
      <c r="D109" s="57" t="n">
        <f aca="false">Demand_Drivers!B9</f>
        <v>1707</v>
      </c>
      <c r="E109" s="89" t="s">
        <v>1141</v>
      </c>
      <c r="F109" s="88" t="s">
        <v>751</v>
      </c>
      <c r="G109" s="88" t="s">
        <v>845</v>
      </c>
      <c r="H109" s="89" t="s">
        <v>1154</v>
      </c>
      <c r="I109" s="44" t="s">
        <v>540</v>
      </c>
      <c r="J109" s="89" t="s">
        <v>1125</v>
      </c>
      <c r="K109" s="44" t="s">
        <v>1155</v>
      </c>
    </row>
    <row r="110" customFormat="false" ht="16.5" hidden="false" customHeight="true" outlineLevel="0" collapsed="false">
      <c r="A110" s="90" t="s">
        <v>1156</v>
      </c>
      <c r="B110" s="46" t="s">
        <v>1152</v>
      </c>
      <c r="C110" s="91" t="s">
        <v>806</v>
      </c>
      <c r="D110" s="62" t="n">
        <f aca="false">Demand_Drivers!D9</f>
        <v>1554</v>
      </c>
      <c r="E110" s="92" t="s">
        <v>1141</v>
      </c>
      <c r="F110" s="91" t="s">
        <v>751</v>
      </c>
      <c r="G110" s="91" t="s">
        <v>845</v>
      </c>
      <c r="H110" s="92" t="s">
        <v>807</v>
      </c>
      <c r="I110" s="46" t="s">
        <v>1149</v>
      </c>
      <c r="J110" s="92" t="s">
        <v>1125</v>
      </c>
      <c r="K110" s="46" t="s">
        <v>1157</v>
      </c>
    </row>
    <row r="111" customFormat="false" ht="30" hidden="false" customHeight="true" outlineLevel="0" collapsed="false">
      <c r="A111" s="87" t="s">
        <v>1158</v>
      </c>
      <c r="B111" s="44" t="s">
        <v>1159</v>
      </c>
      <c r="C111" s="88" t="s">
        <v>806</v>
      </c>
      <c r="D111" s="68" t="n">
        <f aca="false">Demand_Drivers!D10</f>
        <v>0.696543643819567</v>
      </c>
      <c r="E111" s="89" t="s">
        <v>764</v>
      </c>
      <c r="F111" s="88" t="s">
        <v>751</v>
      </c>
      <c r="G111" s="88" t="s">
        <v>845</v>
      </c>
      <c r="H111" s="89" t="s">
        <v>807</v>
      </c>
      <c r="I111" s="44"/>
      <c r="J111" s="89" t="s">
        <v>1125</v>
      </c>
      <c r="K111" s="44" t="s">
        <v>1160</v>
      </c>
    </row>
    <row r="112" customFormat="false" ht="42" hidden="false" customHeight="true" outlineLevel="0" collapsed="false">
      <c r="A112" s="90" t="s">
        <v>1161</v>
      </c>
      <c r="B112" s="46" t="s">
        <v>1162</v>
      </c>
      <c r="C112" s="91" t="s">
        <v>1163</v>
      </c>
      <c r="D112" s="94" t="n">
        <v>1.32</v>
      </c>
      <c r="E112" s="92" t="s">
        <v>1164</v>
      </c>
      <c r="F112" s="91" t="s">
        <v>1165</v>
      </c>
      <c r="G112" s="91" t="s">
        <v>736</v>
      </c>
      <c r="H112" s="92" t="s">
        <v>365</v>
      </c>
      <c r="I112" s="46" t="s">
        <v>1166</v>
      </c>
      <c r="J112" s="92" t="s">
        <v>1125</v>
      </c>
      <c r="K112" s="46" t="s">
        <v>1167</v>
      </c>
    </row>
    <row r="113" customFormat="false" ht="30" hidden="false" customHeight="true" outlineLevel="0" collapsed="false">
      <c r="A113" s="87" t="s">
        <v>1168</v>
      </c>
      <c r="B113" s="44" t="s">
        <v>1169</v>
      </c>
      <c r="C113" s="88" t="s">
        <v>1163</v>
      </c>
      <c r="D113" s="85" t="n">
        <v>8284</v>
      </c>
      <c r="E113" s="89" t="s">
        <v>972</v>
      </c>
      <c r="F113" s="88" t="s">
        <v>1165</v>
      </c>
      <c r="G113" s="88" t="s">
        <v>736</v>
      </c>
      <c r="H113" s="89" t="s">
        <v>365</v>
      </c>
      <c r="I113" s="44" t="s">
        <v>590</v>
      </c>
      <c r="J113" s="89" t="s">
        <v>1125</v>
      </c>
      <c r="K113" s="44" t="s">
        <v>1170</v>
      </c>
    </row>
    <row r="114" customFormat="false" ht="9.75" hidden="false" customHeight="true" outlineLevel="0" collapsed="false"/>
    <row r="115" customFormat="false" ht="30" hidden="false" customHeight="true" outlineLevel="0" collapsed="false">
      <c r="A115" s="19" t="s">
        <v>1171</v>
      </c>
      <c r="B115" s="19"/>
      <c r="C115" s="19"/>
      <c r="D115" s="19"/>
      <c r="E115" s="19"/>
      <c r="F115" s="19"/>
      <c r="G115" s="19"/>
      <c r="H115" s="19"/>
      <c r="I115" s="19"/>
      <c r="J115" s="19"/>
      <c r="K115" s="19"/>
    </row>
    <row r="116" customFormat="false" ht="16.5" hidden="false" customHeight="true" outlineLevel="0" collapsed="false">
      <c r="A116" s="19" t="s">
        <v>1172</v>
      </c>
      <c r="B116" s="19"/>
      <c r="C116" s="19"/>
      <c r="D116" s="19"/>
      <c r="E116" s="19"/>
      <c r="F116" s="19"/>
      <c r="G116" s="19"/>
      <c r="H116" s="19"/>
      <c r="I116" s="19"/>
      <c r="J116" s="19"/>
      <c r="K116" s="19"/>
    </row>
    <row r="117" customFormat="false" ht="16.5" hidden="false" customHeight="true" outlineLevel="0" collapsed="false">
      <c r="A117" s="19" t="s">
        <v>1173</v>
      </c>
      <c r="B117" s="19"/>
      <c r="C117" s="19"/>
      <c r="D117" s="19"/>
      <c r="E117" s="19"/>
      <c r="F117" s="19"/>
      <c r="G117" s="19"/>
      <c r="H117" s="19"/>
      <c r="I117" s="19"/>
      <c r="J117" s="19"/>
      <c r="K117" s="19"/>
    </row>
    <row r="118" customFormat="false" ht="16.5" hidden="false" customHeight="true" outlineLevel="0" collapsed="false">
      <c r="A118" s="19" t="s">
        <v>1174</v>
      </c>
      <c r="B118" s="19"/>
      <c r="C118" s="19"/>
      <c r="D118" s="19"/>
      <c r="E118" s="19"/>
      <c r="F118" s="19"/>
      <c r="G118" s="19"/>
      <c r="H118" s="19"/>
      <c r="I118" s="19"/>
      <c r="J118" s="19"/>
      <c r="K118" s="19"/>
    </row>
    <row r="119" customFormat="false" ht="9.75" hidden="false" customHeight="true" outlineLevel="0" collapsed="false"/>
    <row r="120" customFormat="false" ht="19.5" hidden="false" customHeight="true" outlineLevel="0" collapsed="false">
      <c r="A120" s="15" t="s">
        <v>1175</v>
      </c>
      <c r="B120" s="15"/>
      <c r="C120" s="15"/>
      <c r="D120" s="15"/>
      <c r="E120" s="15"/>
      <c r="F120" s="15"/>
      <c r="G120" s="15"/>
      <c r="H120" s="15"/>
      <c r="I120" s="15"/>
      <c r="J120" s="15"/>
      <c r="K120" s="15"/>
    </row>
    <row r="121" customFormat="false" ht="24" hidden="false" customHeight="true" outlineLevel="0" collapsed="false">
      <c r="A121" s="6" t="s">
        <v>721</v>
      </c>
      <c r="B121" s="6" t="s">
        <v>722</v>
      </c>
      <c r="C121" s="6" t="s">
        <v>723</v>
      </c>
      <c r="D121" s="6" t="s">
        <v>581</v>
      </c>
      <c r="E121" s="6" t="s">
        <v>724</v>
      </c>
      <c r="F121" s="6" t="s">
        <v>725</v>
      </c>
      <c r="G121" s="6" t="s">
        <v>726</v>
      </c>
      <c r="H121" s="6" t="s">
        <v>727</v>
      </c>
      <c r="I121" s="6" t="s">
        <v>728</v>
      </c>
      <c r="J121" s="6" t="s">
        <v>729</v>
      </c>
      <c r="K121" s="6" t="s">
        <v>730</v>
      </c>
    </row>
    <row r="122" customFormat="false" ht="30" hidden="false" customHeight="true" outlineLevel="0" collapsed="false">
      <c r="A122" s="8" t="s">
        <v>1176</v>
      </c>
      <c r="B122" s="9" t="s">
        <v>1177</v>
      </c>
      <c r="C122" s="97" t="n">
        <v>2019</v>
      </c>
      <c r="D122" s="98" t="n">
        <v>14289866</v>
      </c>
      <c r="E122" s="9" t="s">
        <v>831</v>
      </c>
      <c r="F122" s="9" t="s">
        <v>735</v>
      </c>
      <c r="G122" s="9" t="s">
        <v>736</v>
      </c>
      <c r="H122" s="9" t="s">
        <v>116</v>
      </c>
      <c r="I122" s="9" t="s">
        <v>1178</v>
      </c>
      <c r="J122" s="9" t="s">
        <v>113</v>
      </c>
      <c r="K122" s="9" t="s">
        <v>1179</v>
      </c>
    </row>
    <row r="123" customFormat="false" ht="30" hidden="false" customHeight="true" outlineLevel="0" collapsed="false">
      <c r="A123" s="8" t="s">
        <v>1180</v>
      </c>
      <c r="B123" s="9" t="s">
        <v>1177</v>
      </c>
      <c r="C123" s="97" t="n">
        <v>2024</v>
      </c>
      <c r="D123" s="98" t="n">
        <v>10637766</v>
      </c>
      <c r="E123" s="9" t="s">
        <v>831</v>
      </c>
      <c r="F123" s="9" t="s">
        <v>735</v>
      </c>
      <c r="G123" s="9" t="s">
        <v>736</v>
      </c>
      <c r="H123" s="9" t="s">
        <v>116</v>
      </c>
      <c r="I123" s="9" t="s">
        <v>1181</v>
      </c>
      <c r="J123" s="9" t="s">
        <v>113</v>
      </c>
      <c r="K123" s="9" t="s">
        <v>1182</v>
      </c>
    </row>
    <row r="124" customFormat="false" ht="16.5" hidden="false" customHeight="true" outlineLevel="0" collapsed="false">
      <c r="A124" s="8" t="s">
        <v>1183</v>
      </c>
      <c r="B124" s="9" t="s">
        <v>1184</v>
      </c>
      <c r="C124" s="97" t="n">
        <v>2024</v>
      </c>
      <c r="D124" s="99" t="n">
        <v>-0.2556</v>
      </c>
      <c r="E124" s="9" t="s">
        <v>764</v>
      </c>
      <c r="F124" s="9" t="s">
        <v>751</v>
      </c>
      <c r="G124" s="9" t="s">
        <v>736</v>
      </c>
      <c r="H124" s="9" t="s">
        <v>116</v>
      </c>
      <c r="I124" s="9"/>
      <c r="J124" s="9" t="s">
        <v>113</v>
      </c>
      <c r="K124" s="9" t="s">
        <v>1185</v>
      </c>
    </row>
    <row r="125" customFormat="false" ht="16.5" hidden="false" customHeight="true" outlineLevel="0" collapsed="false">
      <c r="A125" s="8" t="s">
        <v>1186</v>
      </c>
      <c r="B125" s="9" t="s">
        <v>1187</v>
      </c>
      <c r="C125" s="97" t="n">
        <v>2024</v>
      </c>
      <c r="D125" s="98" t="n">
        <v>2398253</v>
      </c>
      <c r="E125" s="9" t="s">
        <v>831</v>
      </c>
      <c r="F125" s="9" t="s">
        <v>735</v>
      </c>
      <c r="G125" s="9" t="s">
        <v>736</v>
      </c>
      <c r="H125" s="9" t="s">
        <v>116</v>
      </c>
      <c r="I125" s="9" t="s">
        <v>1188</v>
      </c>
      <c r="J125" s="9" t="s">
        <v>113</v>
      </c>
      <c r="K125" s="9" t="s">
        <v>1189</v>
      </c>
    </row>
    <row r="126" customFormat="false" ht="16.5" hidden="false" customHeight="true" outlineLevel="0" collapsed="false">
      <c r="A126" s="8" t="s">
        <v>1190</v>
      </c>
      <c r="B126" s="9" t="s">
        <v>1191</v>
      </c>
      <c r="C126" s="97" t="n">
        <v>2019</v>
      </c>
      <c r="D126" s="98" t="n">
        <v>2332855</v>
      </c>
      <c r="E126" s="9" t="s">
        <v>831</v>
      </c>
      <c r="F126" s="9" t="s">
        <v>735</v>
      </c>
      <c r="G126" s="9" t="s">
        <v>736</v>
      </c>
      <c r="H126" s="9" t="s">
        <v>116</v>
      </c>
      <c r="I126" s="9" t="s">
        <v>1192</v>
      </c>
      <c r="J126" s="9" t="s">
        <v>128</v>
      </c>
      <c r="K126" s="11"/>
    </row>
    <row r="127" customFormat="false" ht="16.5" hidden="false" customHeight="true" outlineLevel="0" collapsed="false">
      <c r="A127" s="8" t="s">
        <v>1193</v>
      </c>
      <c r="B127" s="9" t="s">
        <v>1191</v>
      </c>
      <c r="C127" s="97" t="n">
        <v>2024</v>
      </c>
      <c r="D127" s="98" t="n">
        <v>857750</v>
      </c>
      <c r="E127" s="9" t="s">
        <v>831</v>
      </c>
      <c r="F127" s="9" t="s">
        <v>735</v>
      </c>
      <c r="G127" s="9" t="s">
        <v>736</v>
      </c>
      <c r="H127" s="9" t="s">
        <v>116</v>
      </c>
      <c r="I127" s="9"/>
      <c r="J127" s="9" t="s">
        <v>128</v>
      </c>
      <c r="K127" s="11"/>
    </row>
    <row r="128" customFormat="false" ht="30" hidden="false" customHeight="true" outlineLevel="0" collapsed="false">
      <c r="A128" s="8" t="s">
        <v>1194</v>
      </c>
      <c r="B128" s="9" t="s">
        <v>1195</v>
      </c>
      <c r="C128" s="97" t="n">
        <v>2024</v>
      </c>
      <c r="D128" s="99" t="n">
        <v>-0.6323</v>
      </c>
      <c r="E128" s="9" t="s">
        <v>764</v>
      </c>
      <c r="F128" s="9" t="s">
        <v>751</v>
      </c>
      <c r="G128" s="9" t="s">
        <v>736</v>
      </c>
      <c r="H128" s="9" t="s">
        <v>116</v>
      </c>
      <c r="I128" s="9"/>
      <c r="J128" s="9" t="s">
        <v>128</v>
      </c>
      <c r="K128" s="9" t="s">
        <v>1196</v>
      </c>
    </row>
    <row r="129" customFormat="false" ht="16.5" hidden="false" customHeight="true" outlineLevel="0" collapsed="false">
      <c r="A129" s="8" t="s">
        <v>1197</v>
      </c>
      <c r="B129" s="9" t="s">
        <v>1198</v>
      </c>
      <c r="C129" s="97" t="n">
        <v>2024</v>
      </c>
      <c r="D129" s="100" t="n">
        <v>215105039</v>
      </c>
      <c r="E129" s="9" t="s">
        <v>972</v>
      </c>
      <c r="F129" s="9" t="s">
        <v>735</v>
      </c>
      <c r="G129" s="9" t="s">
        <v>736</v>
      </c>
      <c r="H129" s="9" t="s">
        <v>116</v>
      </c>
      <c r="I129" s="9" t="s">
        <v>1199</v>
      </c>
      <c r="J129" s="9" t="s">
        <v>128</v>
      </c>
      <c r="K129" s="9" t="s">
        <v>1200</v>
      </c>
    </row>
    <row r="130" customFormat="false" ht="30" hidden="false" customHeight="true" outlineLevel="0" collapsed="false">
      <c r="A130" s="8" t="s">
        <v>1201</v>
      </c>
      <c r="B130" s="9" t="s">
        <v>1202</v>
      </c>
      <c r="C130" s="97" t="n">
        <v>2019</v>
      </c>
      <c r="D130" s="101" t="n">
        <v>-0.77</v>
      </c>
      <c r="E130" s="9" t="s">
        <v>764</v>
      </c>
      <c r="F130" s="9" t="s">
        <v>1165</v>
      </c>
      <c r="G130" s="9" t="s">
        <v>736</v>
      </c>
      <c r="H130" s="9" t="s">
        <v>1203</v>
      </c>
      <c r="I130" s="9" t="s">
        <v>1204</v>
      </c>
      <c r="J130" s="9" t="s">
        <v>128</v>
      </c>
      <c r="K130" s="9" t="s">
        <v>1205</v>
      </c>
    </row>
    <row r="131" customFormat="false" ht="30" hidden="false" customHeight="true" outlineLevel="0" collapsed="false">
      <c r="A131" s="8" t="s">
        <v>1206</v>
      </c>
      <c r="B131" s="9" t="s">
        <v>1207</v>
      </c>
      <c r="C131" s="97" t="n">
        <v>2020</v>
      </c>
      <c r="D131" s="100" t="n">
        <v>650000000</v>
      </c>
      <c r="E131" s="9" t="s">
        <v>972</v>
      </c>
      <c r="F131" s="9" t="s">
        <v>735</v>
      </c>
      <c r="G131" s="9" t="s">
        <v>736</v>
      </c>
      <c r="H131" s="9" t="s">
        <v>1208</v>
      </c>
      <c r="I131" s="9" t="s">
        <v>1209</v>
      </c>
      <c r="J131" s="9" t="s">
        <v>128</v>
      </c>
      <c r="K131" s="9" t="s">
        <v>1210</v>
      </c>
    </row>
    <row r="132" customFormat="false" ht="16.5" hidden="false" customHeight="true" outlineLevel="0" collapsed="false">
      <c r="A132" s="8" t="s">
        <v>1211</v>
      </c>
      <c r="B132" s="9" t="s">
        <v>1212</v>
      </c>
      <c r="C132" s="97" t="n">
        <v>2024</v>
      </c>
      <c r="D132" s="98" t="n">
        <v>66608</v>
      </c>
      <c r="E132" s="9" t="s">
        <v>831</v>
      </c>
      <c r="F132" s="9" t="s">
        <v>735</v>
      </c>
      <c r="G132" s="9" t="s">
        <v>736</v>
      </c>
      <c r="H132" s="9" t="s">
        <v>384</v>
      </c>
      <c r="I132" s="9" t="s">
        <v>1213</v>
      </c>
      <c r="J132" s="9" t="s">
        <v>124</v>
      </c>
      <c r="K132" s="11"/>
    </row>
    <row r="133" customFormat="false" ht="30" hidden="false" customHeight="true" outlineLevel="0" collapsed="false">
      <c r="A133" s="8" t="s">
        <v>1214</v>
      </c>
      <c r="B133" s="9" t="s">
        <v>1215</v>
      </c>
      <c r="C133" s="97" t="n">
        <v>2024</v>
      </c>
      <c r="D133" s="98" t="n">
        <v>43683</v>
      </c>
      <c r="E133" s="9" t="s">
        <v>831</v>
      </c>
      <c r="F133" s="9" t="s">
        <v>735</v>
      </c>
      <c r="G133" s="9" t="s">
        <v>736</v>
      </c>
      <c r="H133" s="9" t="s">
        <v>384</v>
      </c>
      <c r="I133" s="9" t="s">
        <v>1216</v>
      </c>
      <c r="J133" s="9" t="s">
        <v>124</v>
      </c>
      <c r="K133" s="9" t="s">
        <v>1217</v>
      </c>
    </row>
    <row r="134" customFormat="false" ht="30" hidden="false" customHeight="true" outlineLevel="0" collapsed="false">
      <c r="A134" s="8" t="s">
        <v>1218</v>
      </c>
      <c r="B134" s="9" t="s">
        <v>1219</v>
      </c>
      <c r="C134" s="97" t="n">
        <v>2024</v>
      </c>
      <c r="D134" s="99" t="n">
        <v>0.656</v>
      </c>
      <c r="E134" s="9" t="s">
        <v>764</v>
      </c>
      <c r="F134" s="9" t="s">
        <v>751</v>
      </c>
      <c r="G134" s="9" t="s">
        <v>736</v>
      </c>
      <c r="H134" s="9" t="s">
        <v>384</v>
      </c>
      <c r="I134" s="9"/>
      <c r="J134" s="9" t="s">
        <v>124</v>
      </c>
      <c r="K134" s="9" t="s">
        <v>1220</v>
      </c>
    </row>
    <row r="135" customFormat="false" ht="30" hidden="false" customHeight="true" outlineLevel="0" collapsed="false">
      <c r="A135" s="8" t="s">
        <v>1221</v>
      </c>
      <c r="B135" s="9" t="s">
        <v>1222</v>
      </c>
      <c r="C135" s="97" t="n">
        <v>2024</v>
      </c>
      <c r="D135" s="99" t="n">
        <v>0.946</v>
      </c>
      <c r="E135" s="9" t="s">
        <v>764</v>
      </c>
      <c r="F135" s="9" t="s">
        <v>751</v>
      </c>
      <c r="G135" s="9" t="s">
        <v>736</v>
      </c>
      <c r="H135" s="9" t="s">
        <v>384</v>
      </c>
      <c r="I135" s="9" t="s">
        <v>1223</v>
      </c>
      <c r="J135" s="9" t="s">
        <v>124</v>
      </c>
      <c r="K135" s="9" t="s">
        <v>1224</v>
      </c>
    </row>
    <row r="136" customFormat="false" ht="42" hidden="false" customHeight="true" outlineLevel="0" collapsed="false">
      <c r="A136" s="8" t="s">
        <v>1225</v>
      </c>
      <c r="B136" s="9" t="s">
        <v>1226</v>
      </c>
      <c r="C136" s="97" t="n">
        <v>2020</v>
      </c>
      <c r="D136" s="102" t="n">
        <v>5</v>
      </c>
      <c r="E136" s="9" t="s">
        <v>1227</v>
      </c>
      <c r="F136" s="9" t="s">
        <v>751</v>
      </c>
      <c r="G136" s="9" t="s">
        <v>736</v>
      </c>
      <c r="H136" s="9" t="s">
        <v>1228</v>
      </c>
      <c r="I136" s="9" t="s">
        <v>1229</v>
      </c>
      <c r="J136" s="9" t="s">
        <v>124</v>
      </c>
      <c r="K136" s="9" t="s">
        <v>1230</v>
      </c>
    </row>
    <row r="137" customFormat="false" ht="30" hidden="false" customHeight="true" outlineLevel="0" collapsed="false">
      <c r="A137" s="8" t="s">
        <v>1231</v>
      </c>
      <c r="B137" s="9" t="s">
        <v>1232</v>
      </c>
      <c r="C137" s="97" t="n">
        <v>2020</v>
      </c>
      <c r="D137" s="100" t="n">
        <v>758</v>
      </c>
      <c r="E137" s="9" t="s">
        <v>972</v>
      </c>
      <c r="F137" s="9" t="s">
        <v>1233</v>
      </c>
      <c r="G137" s="9" t="s">
        <v>736</v>
      </c>
      <c r="H137" s="9" t="s">
        <v>1234</v>
      </c>
      <c r="I137" s="9" t="s">
        <v>1235</v>
      </c>
      <c r="J137" s="9" t="s">
        <v>136</v>
      </c>
      <c r="K137" s="9" t="s">
        <v>1236</v>
      </c>
    </row>
    <row r="138" customFormat="false" ht="30" hidden="false" customHeight="true" outlineLevel="0" collapsed="false">
      <c r="A138" s="8" t="s">
        <v>1237</v>
      </c>
      <c r="B138" s="9" t="s">
        <v>1238</v>
      </c>
      <c r="C138" s="97" t="n">
        <v>2024</v>
      </c>
      <c r="D138" s="100" t="n">
        <v>100</v>
      </c>
      <c r="E138" s="9" t="s">
        <v>972</v>
      </c>
      <c r="F138" s="9" t="s">
        <v>735</v>
      </c>
      <c r="G138" s="9" t="s">
        <v>736</v>
      </c>
      <c r="H138" s="9" t="s">
        <v>1239</v>
      </c>
      <c r="I138" s="9" t="s">
        <v>1240</v>
      </c>
      <c r="J138" s="9" t="s">
        <v>136</v>
      </c>
      <c r="K138" s="9" t="s">
        <v>1241</v>
      </c>
    </row>
    <row r="139" customFormat="false" ht="30" hidden="false" customHeight="true" outlineLevel="0" collapsed="false">
      <c r="A139" s="8" t="s">
        <v>1242</v>
      </c>
      <c r="B139" s="9" t="s">
        <v>1243</v>
      </c>
      <c r="C139" s="97" t="n">
        <v>2024</v>
      </c>
      <c r="D139" s="98" t="n">
        <v>14</v>
      </c>
      <c r="E139" s="9" t="s">
        <v>1244</v>
      </c>
      <c r="F139" s="9" t="s">
        <v>1047</v>
      </c>
      <c r="G139" s="9" t="s">
        <v>845</v>
      </c>
      <c r="H139" s="9" t="s">
        <v>1245</v>
      </c>
      <c r="I139" s="9" t="s">
        <v>1246</v>
      </c>
      <c r="J139" s="9" t="s">
        <v>136</v>
      </c>
      <c r="K139" s="9" t="s">
        <v>1247</v>
      </c>
    </row>
    <row r="140" customFormat="false" ht="30" hidden="false" customHeight="true" outlineLevel="0" collapsed="false">
      <c r="A140" s="8" t="s">
        <v>1248</v>
      </c>
      <c r="B140" s="9" t="s">
        <v>1249</v>
      </c>
      <c r="C140" s="97" t="n">
        <v>2018</v>
      </c>
      <c r="D140" s="100" t="n">
        <v>2600000000</v>
      </c>
      <c r="E140" s="9" t="s">
        <v>972</v>
      </c>
      <c r="F140" s="9" t="s">
        <v>735</v>
      </c>
      <c r="G140" s="9" t="s">
        <v>736</v>
      </c>
      <c r="H140" s="9" t="s">
        <v>1250</v>
      </c>
      <c r="I140" s="9" t="s">
        <v>1251</v>
      </c>
      <c r="J140" s="9" t="s">
        <v>136</v>
      </c>
      <c r="K140" s="9" t="s">
        <v>1252</v>
      </c>
    </row>
    <row r="141" customFormat="false" ht="16.5" hidden="false" customHeight="true" outlineLevel="0" collapsed="false">
      <c r="A141" s="8" t="s">
        <v>1253</v>
      </c>
      <c r="B141" s="9" t="s">
        <v>1254</v>
      </c>
      <c r="C141" s="97" t="n">
        <v>2030</v>
      </c>
      <c r="D141" s="98" t="n">
        <v>71183000</v>
      </c>
      <c r="E141" s="9" t="s">
        <v>1255</v>
      </c>
      <c r="F141" s="9" t="s">
        <v>735</v>
      </c>
      <c r="G141" s="9" t="s">
        <v>736</v>
      </c>
      <c r="H141" s="9" t="s">
        <v>1256</v>
      </c>
      <c r="I141" s="9" t="s">
        <v>1257</v>
      </c>
      <c r="J141" s="9" t="s">
        <v>148</v>
      </c>
      <c r="K141" s="9" t="s">
        <v>1258</v>
      </c>
    </row>
    <row r="142" customFormat="false" ht="30" hidden="false" customHeight="true" outlineLevel="0" collapsed="false">
      <c r="A142" s="8" t="s">
        <v>1259</v>
      </c>
      <c r="B142" s="9" t="s">
        <v>1260</v>
      </c>
      <c r="C142" s="97" t="n">
        <v>2026</v>
      </c>
      <c r="D142" s="101" t="n">
        <v>0.55</v>
      </c>
      <c r="E142" s="9" t="s">
        <v>764</v>
      </c>
      <c r="F142" s="9" t="s">
        <v>1233</v>
      </c>
      <c r="G142" s="9" t="s">
        <v>736</v>
      </c>
      <c r="H142" s="9" t="s">
        <v>1261</v>
      </c>
      <c r="I142" s="9" t="s">
        <v>1262</v>
      </c>
      <c r="J142" s="9" t="s">
        <v>148</v>
      </c>
      <c r="K142" s="9" t="s">
        <v>1263</v>
      </c>
    </row>
    <row r="143" customFormat="false" ht="30" hidden="false" customHeight="true" outlineLevel="0" collapsed="false">
      <c r="A143" s="8" t="s">
        <v>1264</v>
      </c>
      <c r="B143" s="9" t="s">
        <v>1265</v>
      </c>
      <c r="C143" s="97" t="n">
        <v>2026</v>
      </c>
      <c r="D143" s="98" t="n">
        <v>154</v>
      </c>
      <c r="E143" s="9" t="s">
        <v>1141</v>
      </c>
      <c r="F143" s="9" t="s">
        <v>1165</v>
      </c>
      <c r="G143" s="9" t="s">
        <v>736</v>
      </c>
      <c r="H143" s="9" t="s">
        <v>1266</v>
      </c>
      <c r="I143" s="9" t="s">
        <v>1267</v>
      </c>
      <c r="J143" s="9" t="s">
        <v>148</v>
      </c>
      <c r="K143" s="9" t="s">
        <v>1268</v>
      </c>
    </row>
    <row r="144" customFormat="false" ht="30" hidden="false" customHeight="true" outlineLevel="0" collapsed="false">
      <c r="A144" s="8" t="s">
        <v>1269</v>
      </c>
      <c r="B144" s="9" t="s">
        <v>1270</v>
      </c>
      <c r="C144" s="97" t="n">
        <v>2020</v>
      </c>
      <c r="D144" s="98" t="n">
        <v>7.2</v>
      </c>
      <c r="E144" s="9" t="s">
        <v>1123</v>
      </c>
      <c r="F144" s="9" t="s">
        <v>1165</v>
      </c>
      <c r="G144" s="9" t="s">
        <v>736</v>
      </c>
      <c r="H144" s="9" t="s">
        <v>1271</v>
      </c>
      <c r="I144" s="9" t="s">
        <v>1272</v>
      </c>
      <c r="J144" s="9" t="s">
        <v>148</v>
      </c>
      <c r="K144" s="9" t="s">
        <v>1273</v>
      </c>
    </row>
    <row r="145" customFormat="false" ht="42" hidden="false" customHeight="true" outlineLevel="0" collapsed="false">
      <c r="A145" s="8" t="s">
        <v>1274</v>
      </c>
      <c r="B145" s="9" t="s">
        <v>1275</v>
      </c>
      <c r="C145" s="97" t="n">
        <v>2025</v>
      </c>
      <c r="D145" s="103" t="n">
        <v>1.35</v>
      </c>
      <c r="E145" s="9" t="s">
        <v>1276</v>
      </c>
      <c r="F145" s="9" t="s">
        <v>1165</v>
      </c>
      <c r="G145" s="9" t="s">
        <v>736</v>
      </c>
      <c r="H145" s="9" t="s">
        <v>1277</v>
      </c>
      <c r="I145" s="9" t="s">
        <v>1278</v>
      </c>
      <c r="J145" s="9" t="s">
        <v>148</v>
      </c>
      <c r="K145" s="9" t="s">
        <v>1279</v>
      </c>
    </row>
    <row r="146" customFormat="false" ht="42" hidden="false" customHeight="true" outlineLevel="0" collapsed="false">
      <c r="A146" s="8" t="s">
        <v>1280</v>
      </c>
      <c r="B146" s="9" t="s">
        <v>1281</v>
      </c>
      <c r="C146" s="97" t="n">
        <v>2022</v>
      </c>
      <c r="D146" s="101" t="n">
        <v>0.17</v>
      </c>
      <c r="E146" s="9" t="s">
        <v>764</v>
      </c>
      <c r="F146" s="9" t="s">
        <v>735</v>
      </c>
      <c r="G146" s="9" t="s">
        <v>736</v>
      </c>
      <c r="H146" s="9" t="s">
        <v>1282</v>
      </c>
      <c r="I146" s="9" t="s">
        <v>1283</v>
      </c>
      <c r="J146" s="9" t="s">
        <v>148</v>
      </c>
      <c r="K146" s="9" t="s">
        <v>1284</v>
      </c>
    </row>
    <row r="147" customFormat="false" ht="42" hidden="false" customHeight="true" outlineLevel="0" collapsed="false">
      <c r="A147" s="8" t="s">
        <v>1285</v>
      </c>
      <c r="B147" s="9" t="s">
        <v>1286</v>
      </c>
      <c r="C147" s="97" t="n">
        <v>2026</v>
      </c>
      <c r="D147" s="98" t="n">
        <v>0</v>
      </c>
      <c r="E147" s="9" t="s">
        <v>1287</v>
      </c>
      <c r="F147" s="9" t="s">
        <v>735</v>
      </c>
      <c r="G147" s="9" t="s">
        <v>736</v>
      </c>
      <c r="H147" s="9" t="s">
        <v>1288</v>
      </c>
      <c r="I147" s="9" t="s">
        <v>1289</v>
      </c>
      <c r="J147" s="9" t="s">
        <v>152</v>
      </c>
      <c r="K147" s="9" t="s">
        <v>1290</v>
      </c>
    </row>
    <row r="148" customFormat="false" ht="9.75" hidden="false" customHeight="true" outlineLevel="0" collapsed="false"/>
    <row r="149" customFormat="false" ht="79.5" hidden="false" customHeight="true" outlineLevel="0" collapsed="false">
      <c r="A149" s="21" t="s">
        <v>1291</v>
      </c>
    </row>
    <row r="150" customFormat="false" ht="24" hidden="false" customHeight="true" outlineLevel="0" collapsed="false">
      <c r="A150" s="6" t="s">
        <v>721</v>
      </c>
      <c r="B150" s="6" t="s">
        <v>722</v>
      </c>
      <c r="C150" s="6" t="s">
        <v>723</v>
      </c>
      <c r="D150" s="6" t="s">
        <v>581</v>
      </c>
      <c r="E150" s="6" t="s">
        <v>724</v>
      </c>
      <c r="F150" s="6" t="s">
        <v>725</v>
      </c>
      <c r="G150" s="6" t="s">
        <v>726</v>
      </c>
      <c r="H150" s="6" t="s">
        <v>727</v>
      </c>
      <c r="I150" s="6" t="s">
        <v>728</v>
      </c>
      <c r="J150" s="6" t="s">
        <v>729</v>
      </c>
      <c r="K150" s="6" t="s">
        <v>730</v>
      </c>
    </row>
    <row r="151" customFormat="false" ht="30" hidden="false" customHeight="true" outlineLevel="0" collapsed="false">
      <c r="A151" s="8" t="s">
        <v>1292</v>
      </c>
      <c r="B151" s="9" t="s">
        <v>1293</v>
      </c>
      <c r="C151" s="97" t="n">
        <v>2019</v>
      </c>
      <c r="D151" s="98" t="n">
        <v>32758129</v>
      </c>
      <c r="E151" s="9" t="s">
        <v>1294</v>
      </c>
      <c r="F151" s="9" t="s">
        <v>735</v>
      </c>
      <c r="G151" s="9" t="s">
        <v>736</v>
      </c>
      <c r="H151" s="9" t="s">
        <v>1295</v>
      </c>
      <c r="I151" s="9" t="s">
        <v>1296</v>
      </c>
      <c r="J151" s="9" t="s">
        <v>117</v>
      </c>
      <c r="K151" s="9" t="s">
        <v>1297</v>
      </c>
    </row>
    <row r="152" customFormat="false" ht="30" hidden="false" customHeight="true" outlineLevel="0" collapsed="false">
      <c r="A152" s="8" t="s">
        <v>1298</v>
      </c>
      <c r="B152" s="9" t="s">
        <v>1293</v>
      </c>
      <c r="C152" s="97" t="n">
        <v>2024</v>
      </c>
      <c r="D152" s="98" t="n">
        <v>27673511</v>
      </c>
      <c r="E152" s="9" t="s">
        <v>1294</v>
      </c>
      <c r="F152" s="9" t="s">
        <v>735</v>
      </c>
      <c r="G152" s="9" t="s">
        <v>736</v>
      </c>
      <c r="H152" s="9" t="s">
        <v>1295</v>
      </c>
      <c r="I152" s="9"/>
      <c r="J152" s="9" t="s">
        <v>117</v>
      </c>
      <c r="K152" s="9" t="s">
        <v>1299</v>
      </c>
    </row>
    <row r="153" customFormat="false" ht="30" hidden="false" customHeight="true" outlineLevel="0" collapsed="false">
      <c r="A153" s="8" t="s">
        <v>1300</v>
      </c>
      <c r="B153" s="9" t="s">
        <v>1301</v>
      </c>
      <c r="C153" s="97" t="n">
        <v>2024</v>
      </c>
      <c r="D153" s="104" t="n">
        <v>384.4</v>
      </c>
      <c r="E153" s="9" t="s">
        <v>1302</v>
      </c>
      <c r="F153" s="9" t="s">
        <v>751</v>
      </c>
      <c r="G153" s="9" t="s">
        <v>736</v>
      </c>
      <c r="H153" s="9" t="s">
        <v>120</v>
      </c>
      <c r="I153" s="9"/>
      <c r="J153" s="9" t="s">
        <v>117</v>
      </c>
      <c r="K153" s="9" t="s">
        <v>1303</v>
      </c>
    </row>
    <row r="154" customFormat="false" ht="16.5" hidden="false" customHeight="true" outlineLevel="0" collapsed="false">
      <c r="A154" s="8" t="s">
        <v>1304</v>
      </c>
      <c r="B154" s="9" t="s">
        <v>1305</v>
      </c>
      <c r="C154" s="97" t="n">
        <v>2024</v>
      </c>
      <c r="D154" s="104" t="n">
        <v>31.5</v>
      </c>
      <c r="E154" s="9" t="s">
        <v>1302</v>
      </c>
      <c r="F154" s="9" t="s">
        <v>751</v>
      </c>
      <c r="G154" s="9" t="s">
        <v>736</v>
      </c>
      <c r="H154" s="9" t="s">
        <v>120</v>
      </c>
      <c r="I154" s="9"/>
      <c r="J154" s="9" t="s">
        <v>117</v>
      </c>
      <c r="K154" s="9" t="s">
        <v>1306</v>
      </c>
    </row>
    <row r="155" customFormat="false" ht="30" hidden="false" customHeight="true" outlineLevel="0" collapsed="false">
      <c r="A155" s="8" t="s">
        <v>1307</v>
      </c>
      <c r="B155" s="9" t="s">
        <v>1308</v>
      </c>
      <c r="C155" s="97" t="n">
        <v>2024</v>
      </c>
      <c r="D155" s="104" t="n">
        <v>31</v>
      </c>
      <c r="E155" s="9" t="s">
        <v>1302</v>
      </c>
      <c r="F155" s="9" t="s">
        <v>751</v>
      </c>
      <c r="G155" s="9" t="s">
        <v>736</v>
      </c>
      <c r="H155" s="9" t="s">
        <v>120</v>
      </c>
      <c r="I155" s="9"/>
      <c r="J155" s="9" t="s">
        <v>117</v>
      </c>
      <c r="K155" s="9" t="s">
        <v>1309</v>
      </c>
    </row>
    <row r="156" customFormat="false" ht="16.5" hidden="false" customHeight="true" outlineLevel="0" collapsed="false">
      <c r="A156" s="8" t="s">
        <v>1310</v>
      </c>
      <c r="B156" s="9" t="s">
        <v>1311</v>
      </c>
      <c r="C156" s="97" t="n">
        <v>2024</v>
      </c>
      <c r="D156" s="99" t="n">
        <v>0.31</v>
      </c>
      <c r="E156" s="9" t="s">
        <v>764</v>
      </c>
      <c r="F156" s="9" t="s">
        <v>751</v>
      </c>
      <c r="G156" s="9" t="s">
        <v>736</v>
      </c>
      <c r="H156" s="9" t="s">
        <v>116</v>
      </c>
      <c r="I156" s="9" t="s">
        <v>1312</v>
      </c>
      <c r="J156" s="9" t="s">
        <v>121</v>
      </c>
      <c r="K156" s="9" t="s">
        <v>1313</v>
      </c>
    </row>
    <row r="157" customFormat="false" ht="30" hidden="false" customHeight="true" outlineLevel="0" collapsed="false">
      <c r="A157" s="8" t="s">
        <v>1314</v>
      </c>
      <c r="B157" s="9" t="s">
        <v>1315</v>
      </c>
      <c r="C157" s="97" t="n">
        <v>2024</v>
      </c>
      <c r="D157" s="99" t="n">
        <v>0.945</v>
      </c>
      <c r="E157" s="9" t="s">
        <v>764</v>
      </c>
      <c r="F157" s="9" t="s">
        <v>751</v>
      </c>
      <c r="G157" s="9" t="s">
        <v>736</v>
      </c>
      <c r="H157" s="9" t="s">
        <v>116</v>
      </c>
      <c r="I157" s="9"/>
      <c r="J157" s="9" t="s">
        <v>121</v>
      </c>
      <c r="K157" s="9" t="s">
        <v>1316</v>
      </c>
    </row>
    <row r="158" customFormat="false" ht="16.5" hidden="false" customHeight="true" outlineLevel="0" collapsed="false">
      <c r="A158" s="8" t="s">
        <v>1317</v>
      </c>
      <c r="B158" s="9" t="s">
        <v>1318</v>
      </c>
      <c r="C158" s="97" t="n">
        <v>2024</v>
      </c>
      <c r="D158" s="99" t="n">
        <v>0.956</v>
      </c>
      <c r="E158" s="9" t="s">
        <v>764</v>
      </c>
      <c r="F158" s="9" t="s">
        <v>751</v>
      </c>
      <c r="G158" s="9" t="s">
        <v>736</v>
      </c>
      <c r="H158" s="9" t="s">
        <v>116</v>
      </c>
      <c r="I158" s="9"/>
      <c r="J158" s="9" t="s">
        <v>121</v>
      </c>
      <c r="K158" s="9" t="s">
        <v>1319</v>
      </c>
    </row>
    <row r="159" customFormat="false" ht="30" hidden="false" customHeight="true" outlineLevel="0" collapsed="false">
      <c r="A159" s="8" t="s">
        <v>1320</v>
      </c>
      <c r="B159" s="9" t="s">
        <v>1321</v>
      </c>
      <c r="C159" s="97" t="n">
        <v>2024</v>
      </c>
      <c r="D159" s="98" t="n">
        <v>8721</v>
      </c>
      <c r="E159" s="9" t="s">
        <v>1322</v>
      </c>
      <c r="F159" s="9" t="s">
        <v>735</v>
      </c>
      <c r="G159" s="9" t="s">
        <v>736</v>
      </c>
      <c r="H159" s="9" t="s">
        <v>143</v>
      </c>
      <c r="I159" s="9" t="s">
        <v>1323</v>
      </c>
      <c r="J159" s="9" t="s">
        <v>140</v>
      </c>
      <c r="K159" s="9" t="s">
        <v>1324</v>
      </c>
    </row>
    <row r="160" customFormat="false" ht="30" hidden="false" customHeight="true" outlineLevel="0" collapsed="false">
      <c r="A160" s="8" t="s">
        <v>1325</v>
      </c>
      <c r="B160" s="9" t="s">
        <v>1326</v>
      </c>
      <c r="C160" s="97" t="n">
        <v>2024</v>
      </c>
      <c r="D160" s="99" t="n">
        <v>0.062</v>
      </c>
      <c r="E160" s="9" t="s">
        <v>764</v>
      </c>
      <c r="F160" s="9" t="s">
        <v>751</v>
      </c>
      <c r="G160" s="9" t="s">
        <v>736</v>
      </c>
      <c r="H160" s="9" t="s">
        <v>143</v>
      </c>
      <c r="I160" s="9"/>
      <c r="J160" s="9" t="s">
        <v>140</v>
      </c>
      <c r="K160" s="9" t="s">
        <v>1327</v>
      </c>
    </row>
    <row r="161" customFormat="false" ht="16.5" hidden="false" customHeight="true" outlineLevel="0" collapsed="false">
      <c r="A161" s="8" t="s">
        <v>1328</v>
      </c>
      <c r="B161" s="9" t="s">
        <v>1329</v>
      </c>
      <c r="C161" s="97" t="n">
        <v>2024</v>
      </c>
      <c r="D161" s="98" t="n">
        <v>2683</v>
      </c>
      <c r="E161" s="9" t="s">
        <v>1322</v>
      </c>
      <c r="F161" s="9" t="s">
        <v>735</v>
      </c>
      <c r="G161" s="9" t="s">
        <v>736</v>
      </c>
      <c r="H161" s="9" t="s">
        <v>143</v>
      </c>
      <c r="I161" s="9"/>
      <c r="J161" s="9" t="s">
        <v>140</v>
      </c>
      <c r="K161" s="9" t="s">
        <v>1330</v>
      </c>
    </row>
    <row r="162" customFormat="false" ht="30" hidden="false" customHeight="true" outlineLevel="0" collapsed="false">
      <c r="A162" s="8" t="s">
        <v>1331</v>
      </c>
      <c r="B162" s="9" t="s">
        <v>1332</v>
      </c>
      <c r="C162" s="97" t="n">
        <v>2028</v>
      </c>
      <c r="D162" s="98" t="n">
        <v>1</v>
      </c>
      <c r="E162" s="9" t="s">
        <v>1333</v>
      </c>
      <c r="F162" s="9" t="s">
        <v>735</v>
      </c>
      <c r="G162" s="9" t="s">
        <v>736</v>
      </c>
      <c r="H162" s="9" t="s">
        <v>1334</v>
      </c>
      <c r="I162" s="9" t="s">
        <v>1335</v>
      </c>
      <c r="J162" s="9" t="s">
        <v>132</v>
      </c>
      <c r="K162" s="9" t="s">
        <v>1336</v>
      </c>
    </row>
    <row r="163" customFormat="false" ht="9.75" hidden="false" customHeight="true" outlineLevel="0" collapsed="false"/>
    <row r="164" customFormat="false" ht="79.5" hidden="false" customHeight="true" outlineLevel="0" collapsed="false">
      <c r="A164" s="21" t="s">
        <v>1337</v>
      </c>
    </row>
    <row r="165" customFormat="false" ht="24" hidden="false" customHeight="true" outlineLevel="0" collapsed="false">
      <c r="A165" s="6" t="s">
        <v>721</v>
      </c>
      <c r="B165" s="6" t="s">
        <v>722</v>
      </c>
      <c r="C165" s="6" t="s">
        <v>723</v>
      </c>
      <c r="D165" s="6" t="s">
        <v>581</v>
      </c>
      <c r="E165" s="6" t="s">
        <v>724</v>
      </c>
      <c r="F165" s="6" t="s">
        <v>725</v>
      </c>
      <c r="G165" s="6" t="s">
        <v>726</v>
      </c>
      <c r="H165" s="6" t="s">
        <v>727</v>
      </c>
      <c r="I165" s="6" t="s">
        <v>728</v>
      </c>
      <c r="J165" s="6" t="s">
        <v>729</v>
      </c>
      <c r="K165" s="6" t="s">
        <v>730</v>
      </c>
    </row>
    <row r="166" customFormat="false" ht="16.5" hidden="false" customHeight="true" outlineLevel="0" collapsed="false">
      <c r="A166" s="8" t="s">
        <v>1338</v>
      </c>
      <c r="B166" s="9" t="s">
        <v>1339</v>
      </c>
      <c r="C166" s="97" t="n">
        <v>2019</v>
      </c>
      <c r="D166" s="98" t="n">
        <v>260600</v>
      </c>
      <c r="E166" s="9" t="s">
        <v>1340</v>
      </c>
      <c r="F166" s="9" t="s">
        <v>735</v>
      </c>
      <c r="G166" s="9" t="s">
        <v>736</v>
      </c>
      <c r="H166" s="9" t="s">
        <v>1341</v>
      </c>
      <c r="I166" s="9" t="s">
        <v>1342</v>
      </c>
      <c r="J166" s="9" t="s">
        <v>1343</v>
      </c>
      <c r="K166" s="9" t="s">
        <v>1344</v>
      </c>
    </row>
    <row r="167" customFormat="false" ht="16.5" hidden="false" customHeight="true" outlineLevel="0" collapsed="false">
      <c r="A167" s="8" t="s">
        <v>1345</v>
      </c>
      <c r="B167" s="9" t="s">
        <v>1339</v>
      </c>
      <c r="C167" s="97" t="n">
        <v>2024</v>
      </c>
      <c r="D167" s="105" t="n">
        <v>282900</v>
      </c>
      <c r="E167" s="9" t="s">
        <v>1340</v>
      </c>
      <c r="F167" s="9" t="s">
        <v>751</v>
      </c>
      <c r="G167" s="9" t="s">
        <v>736</v>
      </c>
      <c r="H167" s="9" t="s">
        <v>1346</v>
      </c>
      <c r="I167" s="9" t="s">
        <v>1347</v>
      </c>
      <c r="J167" s="9" t="s">
        <v>1343</v>
      </c>
      <c r="K167" s="9" t="s">
        <v>1348</v>
      </c>
    </row>
    <row r="168" customFormat="false" ht="16.5" hidden="false" customHeight="true" outlineLevel="0" collapsed="false">
      <c r="A168" s="8" t="s">
        <v>1349</v>
      </c>
      <c r="B168" s="9" t="s">
        <v>1350</v>
      </c>
      <c r="C168" s="97" t="n">
        <v>2024</v>
      </c>
      <c r="D168" s="100" t="n">
        <v>58410</v>
      </c>
      <c r="E168" s="9" t="s">
        <v>972</v>
      </c>
      <c r="F168" s="9" t="s">
        <v>735</v>
      </c>
      <c r="G168" s="9" t="s">
        <v>736</v>
      </c>
      <c r="H168" s="9" t="s">
        <v>1346</v>
      </c>
      <c r="I168" s="9" t="s">
        <v>1351</v>
      </c>
      <c r="J168" s="9" t="s">
        <v>1343</v>
      </c>
      <c r="K168" s="9" t="s">
        <v>1352</v>
      </c>
    </row>
    <row r="169" customFormat="false" ht="16.5" hidden="false" customHeight="true" outlineLevel="0" collapsed="false">
      <c r="A169" s="8" t="s">
        <v>1353</v>
      </c>
      <c r="B169" s="9" t="s">
        <v>1354</v>
      </c>
      <c r="C169" s="97" t="n">
        <v>2024</v>
      </c>
      <c r="D169" s="100" t="n">
        <v>41340</v>
      </c>
      <c r="E169" s="9" t="s">
        <v>972</v>
      </c>
      <c r="F169" s="9" t="s">
        <v>735</v>
      </c>
      <c r="G169" s="9" t="s">
        <v>736</v>
      </c>
      <c r="H169" s="9" t="s">
        <v>1346</v>
      </c>
      <c r="I169" s="9"/>
      <c r="J169" s="9" t="s">
        <v>1343</v>
      </c>
      <c r="K169" s="9" t="s">
        <v>1355</v>
      </c>
    </row>
    <row r="170" customFormat="false" ht="16.5" hidden="false" customHeight="true" outlineLevel="0" collapsed="false">
      <c r="A170" s="8" t="s">
        <v>1356</v>
      </c>
      <c r="B170" s="9" t="s">
        <v>1357</v>
      </c>
      <c r="C170" s="97" t="n">
        <v>2019</v>
      </c>
      <c r="D170" s="100" t="n">
        <v>35400</v>
      </c>
      <c r="E170" s="9" t="s">
        <v>972</v>
      </c>
      <c r="F170" s="9" t="s">
        <v>735</v>
      </c>
      <c r="G170" s="9" t="s">
        <v>736</v>
      </c>
      <c r="H170" s="9" t="s">
        <v>1341</v>
      </c>
      <c r="I170" s="9"/>
      <c r="J170" s="9" t="s">
        <v>1343</v>
      </c>
      <c r="K170" s="11"/>
    </row>
    <row r="171" customFormat="false" ht="30" hidden="false" customHeight="true" outlineLevel="0" collapsed="false">
      <c r="A171" s="8" t="s">
        <v>1358</v>
      </c>
      <c r="B171" s="9" t="s">
        <v>1359</v>
      </c>
      <c r="C171" s="97" t="n">
        <v>2024</v>
      </c>
      <c r="D171" s="99" t="n">
        <v>0.186</v>
      </c>
      <c r="E171" s="9" t="s">
        <v>764</v>
      </c>
      <c r="F171" s="9" t="s">
        <v>751</v>
      </c>
      <c r="G171" s="9" t="s">
        <v>736</v>
      </c>
      <c r="H171" s="9" t="s">
        <v>907</v>
      </c>
      <c r="I171" s="9" t="s">
        <v>1360</v>
      </c>
      <c r="J171" s="9" t="s">
        <v>1343</v>
      </c>
      <c r="K171" s="9" t="s">
        <v>1361</v>
      </c>
    </row>
    <row r="172" customFormat="false" ht="30" hidden="false" customHeight="true" outlineLevel="0" collapsed="false">
      <c r="A172" s="8" t="s">
        <v>1362</v>
      </c>
      <c r="B172" s="9" t="s">
        <v>1363</v>
      </c>
      <c r="C172" s="97" t="n">
        <v>2014</v>
      </c>
      <c r="D172" s="98" t="n">
        <v>9305</v>
      </c>
      <c r="E172" s="9" t="s">
        <v>1322</v>
      </c>
      <c r="F172" s="9" t="s">
        <v>735</v>
      </c>
      <c r="G172" s="9" t="s">
        <v>736</v>
      </c>
      <c r="H172" s="9" t="s">
        <v>433</v>
      </c>
      <c r="I172" s="9" t="s">
        <v>1364</v>
      </c>
      <c r="J172" s="9" t="s">
        <v>1365</v>
      </c>
      <c r="K172" s="9" t="s">
        <v>1366</v>
      </c>
    </row>
    <row r="173" customFormat="false" ht="16.5" hidden="false" customHeight="true" outlineLevel="0" collapsed="false">
      <c r="A173" s="8" t="s">
        <v>1367</v>
      </c>
      <c r="B173" s="9" t="s">
        <v>1368</v>
      </c>
      <c r="C173" s="97" t="n">
        <v>2024</v>
      </c>
      <c r="D173" s="99" t="n">
        <v>-0.194</v>
      </c>
      <c r="E173" s="9" t="s">
        <v>764</v>
      </c>
      <c r="F173" s="9" t="s">
        <v>751</v>
      </c>
      <c r="G173" s="9" t="s">
        <v>736</v>
      </c>
      <c r="H173" s="9" t="s">
        <v>433</v>
      </c>
      <c r="I173" s="9" t="s">
        <v>1369</v>
      </c>
      <c r="J173" s="9" t="s">
        <v>1370</v>
      </c>
      <c r="K173" s="9" t="s">
        <v>1371</v>
      </c>
    </row>
    <row r="174" customFormat="false" ht="30" hidden="false" customHeight="true" outlineLevel="0" collapsed="false">
      <c r="A174" s="8" t="s">
        <v>1372</v>
      </c>
      <c r="B174" s="9" t="s">
        <v>1373</v>
      </c>
      <c r="C174" s="97" t="n">
        <v>2022</v>
      </c>
      <c r="D174" s="98" t="n">
        <v>4500000</v>
      </c>
      <c r="E174" s="9" t="s">
        <v>1255</v>
      </c>
      <c r="F174" s="9" t="s">
        <v>1165</v>
      </c>
      <c r="G174" s="9" t="s">
        <v>736</v>
      </c>
      <c r="H174" s="9" t="s">
        <v>1374</v>
      </c>
      <c r="I174" s="9" t="s">
        <v>1375</v>
      </c>
      <c r="J174" s="9" t="s">
        <v>1376</v>
      </c>
      <c r="K174" s="9" t="s">
        <v>1377</v>
      </c>
    </row>
    <row r="175" customFormat="false" ht="30" hidden="false" customHeight="true" outlineLevel="0" collapsed="false">
      <c r="A175" s="8" t="s">
        <v>1378</v>
      </c>
      <c r="B175" s="9" t="s">
        <v>1379</v>
      </c>
      <c r="C175" s="97" t="n">
        <v>2024</v>
      </c>
      <c r="D175" s="98" t="n">
        <v>13365</v>
      </c>
      <c r="E175" s="9" t="s">
        <v>1380</v>
      </c>
      <c r="F175" s="9" t="s">
        <v>735</v>
      </c>
      <c r="G175" s="9" t="s">
        <v>736</v>
      </c>
      <c r="H175" s="9" t="s">
        <v>1381</v>
      </c>
      <c r="I175" s="9" t="s">
        <v>1382</v>
      </c>
      <c r="J175" s="9" t="s">
        <v>1376</v>
      </c>
      <c r="K175" s="9" t="s">
        <v>1383</v>
      </c>
    </row>
    <row r="176" customFormat="false" ht="30" hidden="false" customHeight="true" outlineLevel="0" collapsed="false">
      <c r="A176" s="8" t="s">
        <v>1384</v>
      </c>
      <c r="B176" s="9" t="s">
        <v>1385</v>
      </c>
      <c r="C176" s="97" t="n">
        <v>2024</v>
      </c>
      <c r="D176" s="101" t="n">
        <v>0.191</v>
      </c>
      <c r="E176" s="9" t="s">
        <v>764</v>
      </c>
      <c r="F176" s="9" t="s">
        <v>735</v>
      </c>
      <c r="G176" s="9" t="s">
        <v>736</v>
      </c>
      <c r="H176" s="9" t="s">
        <v>1381</v>
      </c>
      <c r="I176" s="9"/>
      <c r="J176" s="9" t="s">
        <v>1376</v>
      </c>
      <c r="K176" s="9" t="s">
        <v>1386</v>
      </c>
    </row>
    <row r="177" customFormat="false" ht="30" hidden="false" customHeight="true" outlineLevel="0" collapsed="false">
      <c r="A177" s="8" t="s">
        <v>1387</v>
      </c>
      <c r="B177" s="9" t="s">
        <v>1388</v>
      </c>
      <c r="C177" s="97" t="n">
        <v>2024</v>
      </c>
      <c r="D177" s="98" t="n">
        <v>674000</v>
      </c>
      <c r="E177" s="9" t="s">
        <v>1389</v>
      </c>
      <c r="F177" s="9" t="s">
        <v>1165</v>
      </c>
      <c r="G177" s="9" t="s">
        <v>736</v>
      </c>
      <c r="H177" s="9" t="s">
        <v>1390</v>
      </c>
      <c r="I177" s="9" t="s">
        <v>1391</v>
      </c>
      <c r="J177" s="9" t="s">
        <v>1392</v>
      </c>
      <c r="K177" s="9" t="s">
        <v>1393</v>
      </c>
    </row>
    <row r="178" customFormat="false" ht="30" hidden="false" customHeight="true" outlineLevel="0" collapsed="false">
      <c r="A178" s="8" t="s">
        <v>1394</v>
      </c>
      <c r="B178" s="9" t="s">
        <v>1395</v>
      </c>
      <c r="C178" s="97" t="n">
        <v>2024</v>
      </c>
      <c r="D178" s="101" t="n">
        <v>0.753</v>
      </c>
      <c r="E178" s="9" t="s">
        <v>764</v>
      </c>
      <c r="F178" s="9" t="s">
        <v>1165</v>
      </c>
      <c r="G178" s="9" t="s">
        <v>736</v>
      </c>
      <c r="H178" s="9" t="s">
        <v>1390</v>
      </c>
      <c r="I178" s="9" t="s">
        <v>1396</v>
      </c>
      <c r="J178" s="9" t="s">
        <v>1397</v>
      </c>
      <c r="K178" s="9" t="s">
        <v>1398</v>
      </c>
    </row>
    <row r="179" customFormat="false" ht="30" hidden="false" customHeight="true" outlineLevel="0" collapsed="false">
      <c r="A179" s="8" t="s">
        <v>1399</v>
      </c>
      <c r="B179" s="9" t="s">
        <v>1400</v>
      </c>
      <c r="C179" s="97" t="n">
        <v>2030</v>
      </c>
      <c r="D179" s="98" t="n">
        <v>1</v>
      </c>
      <c r="E179" s="9" t="s">
        <v>1401</v>
      </c>
      <c r="F179" s="9" t="s">
        <v>735</v>
      </c>
      <c r="G179" s="9" t="s">
        <v>736</v>
      </c>
      <c r="H179" s="9" t="s">
        <v>1402</v>
      </c>
      <c r="I179" s="9" t="s">
        <v>1403</v>
      </c>
      <c r="J179" s="9" t="s">
        <v>1397</v>
      </c>
      <c r="K179" s="9" t="s">
        <v>1404</v>
      </c>
    </row>
    <row r="180" customFormat="false" ht="30" hidden="false" customHeight="true" outlineLevel="0" collapsed="false">
      <c r="A180" s="8" t="s">
        <v>1405</v>
      </c>
      <c r="B180" s="9" t="s">
        <v>1406</v>
      </c>
      <c r="C180" s="97" t="n">
        <v>2028</v>
      </c>
      <c r="D180" s="98" t="n">
        <v>1</v>
      </c>
      <c r="E180" s="9" t="s">
        <v>1407</v>
      </c>
      <c r="F180" s="9" t="s">
        <v>735</v>
      </c>
      <c r="G180" s="9" t="s">
        <v>736</v>
      </c>
      <c r="H180" s="9" t="s">
        <v>1402</v>
      </c>
      <c r="I180" s="9" t="s">
        <v>1408</v>
      </c>
      <c r="J180" s="9" t="s">
        <v>1409</v>
      </c>
      <c r="K180" s="9" t="s">
        <v>1410</v>
      </c>
    </row>
    <row r="181" customFormat="false" ht="16.5" hidden="false" customHeight="true" outlineLevel="0" collapsed="false">
      <c r="A181" s="8" t="s">
        <v>1411</v>
      </c>
      <c r="B181" s="9" t="s">
        <v>1412</v>
      </c>
      <c r="C181" s="97" t="n">
        <v>2024</v>
      </c>
      <c r="D181" s="105" t="n">
        <v>7797</v>
      </c>
      <c r="E181" s="9" t="s">
        <v>1294</v>
      </c>
      <c r="F181" s="9" t="s">
        <v>751</v>
      </c>
      <c r="G181" s="9" t="s">
        <v>736</v>
      </c>
      <c r="H181" s="9" t="s">
        <v>428</v>
      </c>
      <c r="I181" s="9" t="s">
        <v>1413</v>
      </c>
      <c r="J181" s="9" t="s">
        <v>1376</v>
      </c>
      <c r="K181" s="9" t="s">
        <v>1414</v>
      </c>
    </row>
    <row r="182" customFormat="false" ht="30" hidden="false" customHeight="true" outlineLevel="0" collapsed="false">
      <c r="A182" s="8" t="s">
        <v>1415</v>
      </c>
      <c r="B182" s="9" t="s">
        <v>1416</v>
      </c>
      <c r="C182" s="97" t="n">
        <v>2024</v>
      </c>
      <c r="D182" s="98" t="n">
        <v>9637009</v>
      </c>
      <c r="E182" s="9" t="s">
        <v>1417</v>
      </c>
      <c r="F182" s="9" t="s">
        <v>735</v>
      </c>
      <c r="G182" s="9" t="s">
        <v>736</v>
      </c>
      <c r="H182" s="9" t="s">
        <v>1418</v>
      </c>
      <c r="I182" s="9" t="s">
        <v>1419</v>
      </c>
      <c r="J182" s="9" t="s">
        <v>1420</v>
      </c>
      <c r="K182" s="9" t="s">
        <v>1421</v>
      </c>
    </row>
    <row r="183" customFormat="false" ht="30" hidden="false" customHeight="true" outlineLevel="0" collapsed="false">
      <c r="A183" s="8" t="s">
        <v>1422</v>
      </c>
      <c r="B183" s="9" t="s">
        <v>1423</v>
      </c>
      <c r="C183" s="97" t="n">
        <v>2024</v>
      </c>
      <c r="D183" s="99" t="n">
        <v>0.01</v>
      </c>
      <c r="E183" s="9" t="s">
        <v>764</v>
      </c>
      <c r="F183" s="9" t="s">
        <v>751</v>
      </c>
      <c r="G183" s="9" t="s">
        <v>736</v>
      </c>
      <c r="H183" s="9" t="s">
        <v>1424</v>
      </c>
      <c r="I183" s="9"/>
      <c r="J183" s="9" t="s">
        <v>1425</v>
      </c>
      <c r="K183" s="9" t="s">
        <v>1426</v>
      </c>
    </row>
  </sheetData>
  <autoFilter ref="A4:K113"/>
  <mergeCells count="7">
    <mergeCell ref="A1:K1"/>
    <mergeCell ref="A2:K2"/>
    <mergeCell ref="A115:K115"/>
    <mergeCell ref="A116:K116"/>
    <mergeCell ref="A117:K117"/>
    <mergeCell ref="A118:K118"/>
    <mergeCell ref="A120:K120"/>
  </mergeCells>
  <printOptions headings="false" gridLines="false" gridLinesSet="true" horizontalCentered="false" verticalCentered="false"/>
  <pageMargins left="0.75" right="0.75" top="1" bottom="1" header="0.511811023622047" footer="0.511805555555556"/>
  <pageSetup paperSize="5" scale="100" fitToWidth="1" fitToHeight="0" pageOrder="downThenOver" orientation="landscape" blackAndWhite="false" draft="false" cellComments="none" horizontalDpi="300" verticalDpi="300" copies="1"/>
  <headerFooter differentFirst="false" differentOddEven="false">
    <oddHeader/>
    <oddFooter>&amp;L&amp;8 IFT Sourced Evidence Master  |  verified 09 July 2026&amp;R&amp;8 &amp;A  |  page &amp;P of &amp;N</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294C"/>
    <pageSetUpPr fitToPage="true"/>
  </sheetPr>
  <dimension ref="A1:H96"/>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35"/>
    <col collapsed="false" customWidth="true" hidden="false" outlineLevel="0" max="2" min="2" style="1" width="22"/>
    <col collapsed="false" customWidth="true" hidden="false" outlineLevel="0" max="3" min="3" style="1" width="44"/>
    <col collapsed="false" customWidth="true" hidden="false" outlineLevel="0" max="4" min="4" style="1" width="22"/>
    <col collapsed="false" customWidth="true" hidden="false" outlineLevel="0" max="5" min="5" style="1" width="30"/>
    <col collapsed="false" customWidth="true" hidden="false" outlineLevel="0" max="6" min="6" style="1" width="46"/>
    <col collapsed="false" customWidth="true" hidden="false" outlineLevel="0" max="7" min="7" style="1" width="62"/>
    <col collapsed="false" customWidth="true" hidden="false" outlineLevel="0" max="8" min="8" style="1" width="8"/>
  </cols>
  <sheetData>
    <row r="1" customFormat="false" ht="24" hidden="false" customHeight="true" outlineLevel="0" collapsed="false">
      <c r="A1" s="14" t="s">
        <v>1427</v>
      </c>
      <c r="B1" s="14"/>
      <c r="C1" s="14"/>
      <c r="D1" s="14"/>
      <c r="E1" s="14"/>
      <c r="F1" s="14"/>
      <c r="G1" s="14"/>
      <c r="H1" s="14"/>
    </row>
    <row r="2" customFormat="false" ht="30" hidden="false" customHeight="true" outlineLevel="0" collapsed="false">
      <c r="A2" s="3" t="s">
        <v>1428</v>
      </c>
      <c r="B2" s="3"/>
      <c r="C2" s="3"/>
      <c r="D2" s="3"/>
      <c r="E2" s="3"/>
      <c r="F2" s="3"/>
      <c r="G2" s="3"/>
      <c r="H2" s="3"/>
    </row>
    <row r="3" customFormat="false" ht="13.5" hidden="false" customHeight="true" outlineLevel="0" collapsed="false"/>
    <row r="4" customFormat="false" ht="21.75" hidden="false" customHeight="true" outlineLevel="0" collapsed="false">
      <c r="A4" s="7" t="s">
        <v>727</v>
      </c>
      <c r="B4" s="16" t="s">
        <v>1429</v>
      </c>
      <c r="C4" s="16" t="s">
        <v>1430</v>
      </c>
      <c r="D4" s="16" t="s">
        <v>1431</v>
      </c>
      <c r="E4" s="16" t="s">
        <v>728</v>
      </c>
      <c r="F4" s="16" t="s">
        <v>1432</v>
      </c>
      <c r="G4" s="16" t="s">
        <v>1433</v>
      </c>
      <c r="H4" s="16" t="s">
        <v>726</v>
      </c>
    </row>
    <row r="5" customFormat="false" ht="16.5" hidden="false" customHeight="true" outlineLevel="0" collapsed="false">
      <c r="A5" s="18" t="s">
        <v>737</v>
      </c>
      <c r="B5" s="17" t="s">
        <v>1434</v>
      </c>
      <c r="C5" s="18" t="s">
        <v>1435</v>
      </c>
      <c r="D5" s="17" t="s">
        <v>1436</v>
      </c>
      <c r="E5" s="18" t="s">
        <v>1437</v>
      </c>
      <c r="F5" s="18" t="s">
        <v>1438</v>
      </c>
      <c r="G5" s="18" t="s">
        <v>1439</v>
      </c>
      <c r="H5" s="17" t="s">
        <v>736</v>
      </c>
    </row>
    <row r="6" customFormat="false" ht="16.5" hidden="false" customHeight="true" outlineLevel="0" collapsed="false">
      <c r="A6" s="18" t="s">
        <v>858</v>
      </c>
      <c r="B6" s="17" t="s">
        <v>1434</v>
      </c>
      <c r="C6" s="18" t="s">
        <v>1440</v>
      </c>
      <c r="D6" s="17" t="s">
        <v>1441</v>
      </c>
      <c r="E6" s="18" t="s">
        <v>1442</v>
      </c>
      <c r="F6" s="18" t="s">
        <v>1443</v>
      </c>
      <c r="G6" s="18" t="s">
        <v>1444</v>
      </c>
      <c r="H6" s="17" t="s">
        <v>736</v>
      </c>
    </row>
    <row r="7" customFormat="false" ht="16.5" hidden="false" customHeight="true" outlineLevel="0" collapsed="false">
      <c r="A7" s="18" t="s">
        <v>862</v>
      </c>
      <c r="B7" s="17" t="s">
        <v>1434</v>
      </c>
      <c r="C7" s="18" t="s">
        <v>1445</v>
      </c>
      <c r="D7" s="17" t="s">
        <v>1446</v>
      </c>
      <c r="E7" s="18" t="s">
        <v>1447</v>
      </c>
      <c r="F7" s="18" t="s">
        <v>1448</v>
      </c>
      <c r="G7" s="18" t="s">
        <v>1444</v>
      </c>
      <c r="H7" s="17" t="s">
        <v>736</v>
      </c>
    </row>
    <row r="8" customFormat="false" ht="16.5" hidden="false" customHeight="true" outlineLevel="0" collapsed="false">
      <c r="A8" s="18" t="s">
        <v>100</v>
      </c>
      <c r="B8" s="17" t="s">
        <v>1434</v>
      </c>
      <c r="C8" s="18" t="s">
        <v>1449</v>
      </c>
      <c r="D8" s="17" t="s">
        <v>1436</v>
      </c>
      <c r="E8" s="18" t="s">
        <v>1450</v>
      </c>
      <c r="F8" s="18" t="s">
        <v>1451</v>
      </c>
      <c r="G8" s="18" t="s">
        <v>1452</v>
      </c>
      <c r="H8" s="17" t="s">
        <v>736</v>
      </c>
    </row>
    <row r="9" customFormat="false" ht="16.5" hidden="false" customHeight="true" outlineLevel="0" collapsed="false">
      <c r="A9" s="18" t="s">
        <v>1453</v>
      </c>
      <c r="B9" s="18" t="s">
        <v>1454</v>
      </c>
      <c r="C9" s="18" t="s">
        <v>1455</v>
      </c>
      <c r="D9" s="18" t="s">
        <v>1456</v>
      </c>
      <c r="E9" s="17" t="s">
        <v>1457</v>
      </c>
      <c r="F9" s="18" t="s">
        <v>1458</v>
      </c>
      <c r="G9" s="18" t="s">
        <v>1459</v>
      </c>
      <c r="H9" s="17" t="s">
        <v>736</v>
      </c>
    </row>
    <row r="10" customFormat="false" ht="16.5" hidden="false" customHeight="true" outlineLevel="0" collapsed="false">
      <c r="A10" s="18" t="s">
        <v>1460</v>
      </c>
      <c r="B10" s="18" t="s">
        <v>1454</v>
      </c>
      <c r="C10" s="18" t="s">
        <v>1461</v>
      </c>
      <c r="D10" s="18" t="s">
        <v>1462</v>
      </c>
      <c r="E10" s="17" t="s">
        <v>1463</v>
      </c>
      <c r="F10" s="18" t="s">
        <v>1464</v>
      </c>
      <c r="G10" s="18" t="s">
        <v>1465</v>
      </c>
      <c r="H10" s="17" t="s">
        <v>736</v>
      </c>
    </row>
    <row r="11" customFormat="false" ht="16.5" hidden="false" customHeight="true" outlineLevel="0" collapsed="false">
      <c r="A11" s="18" t="s">
        <v>1466</v>
      </c>
      <c r="B11" s="18" t="s">
        <v>1454</v>
      </c>
      <c r="C11" s="18" t="s">
        <v>1467</v>
      </c>
      <c r="D11" s="17" t="s">
        <v>1468</v>
      </c>
      <c r="E11" s="17" t="s">
        <v>1463</v>
      </c>
      <c r="F11" s="18" t="s">
        <v>1469</v>
      </c>
      <c r="G11" s="18" t="s">
        <v>1470</v>
      </c>
      <c r="H11" s="17" t="s">
        <v>736</v>
      </c>
    </row>
    <row r="12" customFormat="false" ht="16.5" hidden="false" customHeight="true" outlineLevel="0" collapsed="false">
      <c r="A12" s="18" t="s">
        <v>1471</v>
      </c>
      <c r="B12" s="18" t="s">
        <v>1454</v>
      </c>
      <c r="C12" s="18" t="s">
        <v>1472</v>
      </c>
      <c r="D12" s="17" t="s">
        <v>1473</v>
      </c>
      <c r="E12" s="17" t="s">
        <v>1463</v>
      </c>
      <c r="F12" s="18" t="s">
        <v>1474</v>
      </c>
      <c r="G12" s="18" t="s">
        <v>1475</v>
      </c>
      <c r="H12" s="17" t="s">
        <v>736</v>
      </c>
    </row>
    <row r="13" customFormat="false" ht="16.5" hidden="false" customHeight="true" outlineLevel="0" collapsed="false">
      <c r="A13" s="18" t="s">
        <v>802</v>
      </c>
      <c r="B13" s="18" t="s">
        <v>1454</v>
      </c>
      <c r="C13" s="18" t="s">
        <v>1476</v>
      </c>
      <c r="D13" s="17" t="s">
        <v>1477</v>
      </c>
      <c r="E13" s="17" t="s">
        <v>1463</v>
      </c>
      <c r="F13" s="18" t="s">
        <v>1478</v>
      </c>
      <c r="G13" s="18" t="s">
        <v>1479</v>
      </c>
      <c r="H13" s="17" t="s">
        <v>736</v>
      </c>
    </row>
    <row r="14" customFormat="false" ht="16.5" hidden="false" customHeight="true" outlineLevel="0" collapsed="false">
      <c r="A14" s="18" t="s">
        <v>1480</v>
      </c>
      <c r="B14" s="18" t="s">
        <v>1454</v>
      </c>
      <c r="C14" s="18" t="s">
        <v>1481</v>
      </c>
      <c r="D14" s="17" t="s">
        <v>1482</v>
      </c>
      <c r="E14" s="17" t="s">
        <v>1463</v>
      </c>
      <c r="F14" s="18" t="s">
        <v>1483</v>
      </c>
      <c r="G14" s="18" t="s">
        <v>1484</v>
      </c>
      <c r="H14" s="17" t="s">
        <v>736</v>
      </c>
    </row>
    <row r="15" customFormat="false" ht="16.5" hidden="false" customHeight="true" outlineLevel="0" collapsed="false">
      <c r="A15" s="18" t="s">
        <v>807</v>
      </c>
      <c r="B15" s="18" t="s">
        <v>1454</v>
      </c>
      <c r="C15" s="18" t="s">
        <v>1485</v>
      </c>
      <c r="D15" s="17" t="s">
        <v>1486</v>
      </c>
      <c r="E15" s="17" t="s">
        <v>1463</v>
      </c>
      <c r="F15" s="18" t="s">
        <v>1487</v>
      </c>
      <c r="G15" s="18" t="s">
        <v>1488</v>
      </c>
      <c r="H15" s="17" t="s">
        <v>736</v>
      </c>
    </row>
    <row r="16" customFormat="false" ht="16.5" hidden="false" customHeight="true" outlineLevel="0" collapsed="false">
      <c r="A16" s="18" t="s">
        <v>826</v>
      </c>
      <c r="B16" s="17" t="s">
        <v>1489</v>
      </c>
      <c r="C16" s="18" t="s">
        <v>1490</v>
      </c>
      <c r="D16" s="17" t="s">
        <v>1491</v>
      </c>
      <c r="E16" s="18" t="s">
        <v>1492</v>
      </c>
      <c r="F16" s="18" t="s">
        <v>1493</v>
      </c>
      <c r="G16" s="18" t="s">
        <v>1494</v>
      </c>
      <c r="H16" s="17" t="s">
        <v>736</v>
      </c>
    </row>
    <row r="17" customFormat="false" ht="16.5" hidden="false" customHeight="true" outlineLevel="0" collapsed="false">
      <c r="A17" s="18" t="s">
        <v>298</v>
      </c>
      <c r="B17" s="17" t="s">
        <v>1495</v>
      </c>
      <c r="C17" s="18" t="s">
        <v>1496</v>
      </c>
      <c r="D17" s="18" t="s">
        <v>1497</v>
      </c>
      <c r="E17" s="18" t="s">
        <v>1498</v>
      </c>
      <c r="F17" s="18" t="s">
        <v>1499</v>
      </c>
      <c r="G17" s="18" t="s">
        <v>1500</v>
      </c>
      <c r="H17" s="17" t="s">
        <v>736</v>
      </c>
    </row>
    <row r="18" customFormat="false" ht="16.5" hidden="false" customHeight="true" outlineLevel="0" collapsed="false">
      <c r="A18" s="18" t="s">
        <v>1501</v>
      </c>
      <c r="B18" s="17" t="s">
        <v>1495</v>
      </c>
      <c r="C18" s="18" t="s">
        <v>1502</v>
      </c>
      <c r="D18" s="17" t="s">
        <v>1503</v>
      </c>
      <c r="E18" s="17" t="s">
        <v>1504</v>
      </c>
      <c r="F18" s="18" t="s">
        <v>1505</v>
      </c>
      <c r="G18" s="18" t="s">
        <v>1506</v>
      </c>
      <c r="H18" s="17" t="s">
        <v>845</v>
      </c>
    </row>
    <row r="19" customFormat="false" ht="16.5" hidden="false" customHeight="true" outlineLevel="0" collapsed="false">
      <c r="A19" s="18" t="s">
        <v>1507</v>
      </c>
      <c r="B19" s="17" t="s">
        <v>1495</v>
      </c>
      <c r="C19" s="18" t="s">
        <v>1508</v>
      </c>
      <c r="D19" s="17" t="s">
        <v>1509</v>
      </c>
      <c r="E19" s="18" t="s">
        <v>1510</v>
      </c>
      <c r="F19" s="18" t="s">
        <v>1511</v>
      </c>
      <c r="G19" s="18" t="s">
        <v>1512</v>
      </c>
      <c r="H19" s="17" t="s">
        <v>845</v>
      </c>
    </row>
    <row r="20" customFormat="false" ht="16.5" hidden="false" customHeight="true" outlineLevel="0" collapsed="false">
      <c r="A20" s="18" t="s">
        <v>1513</v>
      </c>
      <c r="B20" s="17" t="s">
        <v>1514</v>
      </c>
      <c r="C20" s="18" t="s">
        <v>1515</v>
      </c>
      <c r="D20" s="17" t="s">
        <v>1516</v>
      </c>
      <c r="E20" s="18" t="s">
        <v>1517</v>
      </c>
      <c r="F20" s="18" t="s">
        <v>1518</v>
      </c>
      <c r="G20" s="18" t="s">
        <v>1519</v>
      </c>
      <c r="H20" s="17" t="s">
        <v>736</v>
      </c>
    </row>
    <row r="21" customFormat="false" ht="16.5" hidden="false" customHeight="true" outlineLevel="0" collapsed="false">
      <c r="A21" s="18" t="s">
        <v>1520</v>
      </c>
      <c r="B21" s="17" t="s">
        <v>1514</v>
      </c>
      <c r="C21" s="18" t="s">
        <v>1521</v>
      </c>
      <c r="D21" s="17" t="s">
        <v>1522</v>
      </c>
      <c r="E21" s="18" t="s">
        <v>1523</v>
      </c>
      <c r="F21" s="18" t="s">
        <v>1524</v>
      </c>
      <c r="G21" s="18" t="s">
        <v>1525</v>
      </c>
      <c r="H21" s="17" t="s">
        <v>736</v>
      </c>
    </row>
    <row r="22" customFormat="false" ht="16.5" hidden="false" customHeight="true" outlineLevel="0" collapsed="false">
      <c r="A22" s="18" t="s">
        <v>1526</v>
      </c>
      <c r="B22" s="17" t="s">
        <v>1495</v>
      </c>
      <c r="C22" s="18" t="s">
        <v>1527</v>
      </c>
      <c r="D22" s="17" t="s">
        <v>1503</v>
      </c>
      <c r="E22" s="17" t="s">
        <v>1528</v>
      </c>
      <c r="F22" s="18" t="s">
        <v>1529</v>
      </c>
      <c r="G22" s="18" t="s">
        <v>1530</v>
      </c>
      <c r="H22" s="17" t="s">
        <v>736</v>
      </c>
    </row>
    <row r="23" customFormat="false" ht="16.5" hidden="false" customHeight="true" outlineLevel="0" collapsed="false">
      <c r="A23" s="18" t="s">
        <v>1531</v>
      </c>
      <c r="B23" s="17" t="s">
        <v>1495</v>
      </c>
      <c r="C23" s="18" t="s">
        <v>1532</v>
      </c>
      <c r="D23" s="17" t="s">
        <v>1533</v>
      </c>
      <c r="E23" s="17" t="s">
        <v>1534</v>
      </c>
      <c r="F23" s="18" t="s">
        <v>1535</v>
      </c>
      <c r="G23" s="18" t="s">
        <v>1536</v>
      </c>
      <c r="H23" s="17" t="s">
        <v>845</v>
      </c>
    </row>
    <row r="24" customFormat="false" ht="16.5" hidden="false" customHeight="true" outlineLevel="0" collapsed="false">
      <c r="A24" s="18" t="s">
        <v>1537</v>
      </c>
      <c r="B24" s="17" t="s">
        <v>1514</v>
      </c>
      <c r="C24" s="18" t="s">
        <v>1538</v>
      </c>
      <c r="D24" s="17" t="s">
        <v>1516</v>
      </c>
      <c r="E24" s="18" t="s">
        <v>1539</v>
      </c>
      <c r="F24" s="18" t="s">
        <v>1540</v>
      </c>
      <c r="G24" s="18" t="s">
        <v>1519</v>
      </c>
      <c r="H24" s="17" t="s">
        <v>736</v>
      </c>
    </row>
    <row r="25" customFormat="false" ht="16.5" hidden="false" customHeight="true" outlineLevel="0" collapsed="false">
      <c r="A25" s="18" t="s">
        <v>1541</v>
      </c>
      <c r="B25" s="17" t="s">
        <v>1542</v>
      </c>
      <c r="C25" s="18" t="s">
        <v>1543</v>
      </c>
      <c r="D25" s="17" t="s">
        <v>1544</v>
      </c>
      <c r="E25" s="17" t="s">
        <v>1545</v>
      </c>
      <c r="F25" s="18" t="s">
        <v>1546</v>
      </c>
      <c r="G25" s="18" t="s">
        <v>1547</v>
      </c>
      <c r="H25" s="17" t="s">
        <v>845</v>
      </c>
    </row>
    <row r="26" customFormat="false" ht="16.5" hidden="false" customHeight="true" outlineLevel="0" collapsed="false">
      <c r="A26" s="18" t="s">
        <v>1548</v>
      </c>
      <c r="B26" s="17" t="s">
        <v>1495</v>
      </c>
      <c r="C26" s="18" t="s">
        <v>1549</v>
      </c>
      <c r="D26" s="17" t="s">
        <v>1550</v>
      </c>
      <c r="E26" s="18" t="s">
        <v>1551</v>
      </c>
      <c r="F26" s="18" t="s">
        <v>1552</v>
      </c>
      <c r="G26" s="18" t="s">
        <v>1553</v>
      </c>
      <c r="H26" s="17" t="s">
        <v>845</v>
      </c>
    </row>
    <row r="27" customFormat="false" ht="16.5" hidden="false" customHeight="true" outlineLevel="0" collapsed="false">
      <c r="A27" s="18" t="s">
        <v>942</v>
      </c>
      <c r="B27" s="17" t="s">
        <v>1495</v>
      </c>
      <c r="C27" s="18" t="s">
        <v>1554</v>
      </c>
      <c r="D27" s="17" t="s">
        <v>1555</v>
      </c>
      <c r="E27" s="18" t="s">
        <v>1556</v>
      </c>
      <c r="F27" s="18" t="s">
        <v>1557</v>
      </c>
      <c r="G27" s="18" t="s">
        <v>1558</v>
      </c>
      <c r="H27" s="17" t="s">
        <v>940</v>
      </c>
    </row>
    <row r="28" customFormat="false" ht="16.5" hidden="false" customHeight="true" outlineLevel="0" collapsed="false">
      <c r="A28" s="18" t="s">
        <v>952</v>
      </c>
      <c r="B28" s="17" t="s">
        <v>1495</v>
      </c>
      <c r="C28" s="18" t="s">
        <v>1559</v>
      </c>
      <c r="D28" s="17" t="s">
        <v>1560</v>
      </c>
      <c r="E28" s="18" t="s">
        <v>1561</v>
      </c>
      <c r="F28" s="18" t="s">
        <v>1562</v>
      </c>
      <c r="G28" s="18" t="s">
        <v>1500</v>
      </c>
      <c r="H28" s="17" t="s">
        <v>940</v>
      </c>
    </row>
    <row r="29" customFormat="false" ht="16.5" hidden="false" customHeight="true" outlineLevel="0" collapsed="false">
      <c r="A29" s="18" t="s">
        <v>867</v>
      </c>
      <c r="B29" s="17" t="s">
        <v>1563</v>
      </c>
      <c r="C29" s="18" t="s">
        <v>1564</v>
      </c>
      <c r="D29" s="17" t="s">
        <v>866</v>
      </c>
      <c r="E29" s="17" t="s">
        <v>1565</v>
      </c>
      <c r="F29" s="18" t="s">
        <v>1566</v>
      </c>
      <c r="G29" s="18" t="s">
        <v>1567</v>
      </c>
      <c r="H29" s="17" t="s">
        <v>736</v>
      </c>
    </row>
    <row r="30" customFormat="false" ht="16.5" hidden="false" customHeight="true" outlineLevel="0" collapsed="false">
      <c r="A30" s="18" t="s">
        <v>1568</v>
      </c>
      <c r="B30" s="17" t="s">
        <v>1563</v>
      </c>
      <c r="C30" s="18" t="s">
        <v>1569</v>
      </c>
      <c r="D30" s="17" t="s">
        <v>1570</v>
      </c>
      <c r="E30" s="18" t="s">
        <v>1571</v>
      </c>
      <c r="F30" s="18" t="s">
        <v>1572</v>
      </c>
      <c r="G30" s="18" t="s">
        <v>1573</v>
      </c>
      <c r="H30" s="17" t="s">
        <v>845</v>
      </c>
    </row>
    <row r="31" customFormat="false" ht="16.5" hidden="false" customHeight="true" outlineLevel="0" collapsed="false">
      <c r="A31" s="18" t="s">
        <v>958</v>
      </c>
      <c r="B31" s="17" t="s">
        <v>1574</v>
      </c>
      <c r="C31" s="18" t="s">
        <v>1575</v>
      </c>
      <c r="D31" s="17" t="s">
        <v>1503</v>
      </c>
      <c r="E31" s="17" t="s">
        <v>1576</v>
      </c>
      <c r="F31" s="18" t="s">
        <v>1577</v>
      </c>
      <c r="G31" s="18" t="s">
        <v>1578</v>
      </c>
      <c r="H31" s="17" t="s">
        <v>736</v>
      </c>
    </row>
    <row r="32" customFormat="false" ht="16.5" hidden="false" customHeight="true" outlineLevel="0" collapsed="false">
      <c r="A32" s="18" t="s">
        <v>331</v>
      </c>
      <c r="B32" s="17" t="s">
        <v>1542</v>
      </c>
      <c r="C32" s="18" t="s">
        <v>1579</v>
      </c>
      <c r="D32" s="17" t="s">
        <v>1580</v>
      </c>
      <c r="E32" s="17" t="s">
        <v>1581</v>
      </c>
      <c r="F32" s="18" t="s">
        <v>1582</v>
      </c>
      <c r="G32" s="18" t="s">
        <v>1583</v>
      </c>
      <c r="H32" s="17" t="s">
        <v>736</v>
      </c>
    </row>
    <row r="33" customFormat="false" ht="16.5" hidden="false" customHeight="true" outlineLevel="0" collapsed="false">
      <c r="A33" s="18" t="s">
        <v>907</v>
      </c>
      <c r="B33" s="17" t="s">
        <v>1495</v>
      </c>
      <c r="C33" s="18" t="s">
        <v>1584</v>
      </c>
      <c r="D33" s="18" t="s">
        <v>985</v>
      </c>
      <c r="E33" s="17" t="s">
        <v>1585</v>
      </c>
      <c r="F33" s="18" t="s">
        <v>1586</v>
      </c>
      <c r="G33" s="18" t="s">
        <v>1587</v>
      </c>
      <c r="H33" s="17" t="s">
        <v>736</v>
      </c>
    </row>
    <row r="34" customFormat="false" ht="16.5" hidden="false" customHeight="true" outlineLevel="0" collapsed="false">
      <c r="A34" s="18" t="s">
        <v>314</v>
      </c>
      <c r="B34" s="18" t="s">
        <v>1588</v>
      </c>
      <c r="C34" s="18" t="s">
        <v>1589</v>
      </c>
      <c r="D34" s="18" t="s">
        <v>1590</v>
      </c>
      <c r="E34" s="18" t="s">
        <v>1591</v>
      </c>
      <c r="F34" s="18" t="s">
        <v>1592</v>
      </c>
      <c r="G34" s="18" t="s">
        <v>1593</v>
      </c>
      <c r="H34" s="17" t="s">
        <v>736</v>
      </c>
    </row>
    <row r="35" customFormat="false" ht="9.75" hidden="false" customHeight="true" outlineLevel="0" collapsed="false"/>
    <row r="36" customFormat="false" ht="30" hidden="false" customHeight="true" outlineLevel="0" collapsed="false">
      <c r="A36" s="106" t="s">
        <v>1594</v>
      </c>
    </row>
    <row r="37" customFormat="false" ht="30" hidden="false" customHeight="true" outlineLevel="0" collapsed="false">
      <c r="A37" s="106" t="s">
        <v>1595</v>
      </c>
    </row>
    <row r="38" customFormat="false" ht="9.75" hidden="false" customHeight="true" outlineLevel="0" collapsed="false"/>
    <row r="39" customFormat="false" ht="30" hidden="false" customHeight="true" outlineLevel="0" collapsed="false">
      <c r="A39" s="106" t="s">
        <v>1596</v>
      </c>
    </row>
    <row r="40" customFormat="false" ht="42" hidden="false" customHeight="true" outlineLevel="0" collapsed="false">
      <c r="A40" s="106" t="s">
        <v>1597</v>
      </c>
    </row>
    <row r="41" customFormat="false" ht="42" hidden="false" customHeight="true" outlineLevel="0" collapsed="false">
      <c r="A41" s="107" t="s">
        <v>1598</v>
      </c>
    </row>
    <row r="42" customFormat="false" ht="9.75" hidden="false" customHeight="true" outlineLevel="0" collapsed="false"/>
    <row r="43" customFormat="false" ht="42" hidden="false" customHeight="true" outlineLevel="0" collapsed="false">
      <c r="A43" s="106" t="s">
        <v>1599</v>
      </c>
    </row>
    <row r="44" customFormat="false" ht="30" hidden="false" customHeight="true" outlineLevel="0" collapsed="false">
      <c r="A44" s="106" t="s">
        <v>1600</v>
      </c>
    </row>
    <row r="45" customFormat="false" ht="9.75" hidden="false" customHeight="true" outlineLevel="0" collapsed="false"/>
    <row r="46" customFormat="false" ht="42" hidden="false" customHeight="true" outlineLevel="0" collapsed="false">
      <c r="A46" s="106" t="s">
        <v>1601</v>
      </c>
    </row>
    <row r="47" customFormat="false" ht="30" hidden="false" customHeight="true" outlineLevel="0" collapsed="false">
      <c r="A47" s="106" t="s">
        <v>1602</v>
      </c>
    </row>
    <row r="48" customFormat="false" ht="42" hidden="false" customHeight="true" outlineLevel="0" collapsed="false">
      <c r="A48" s="106" t="s">
        <v>1603</v>
      </c>
    </row>
    <row r="49" customFormat="false" ht="42" hidden="false" customHeight="true" outlineLevel="0" collapsed="false">
      <c r="A49" s="106" t="s">
        <v>1604</v>
      </c>
    </row>
    <row r="50" customFormat="false" ht="30" hidden="false" customHeight="true" outlineLevel="0" collapsed="false">
      <c r="A50" s="106" t="s">
        <v>1605</v>
      </c>
    </row>
    <row r="51" customFormat="false" ht="42" hidden="false" customHeight="true" outlineLevel="0" collapsed="false">
      <c r="A51" s="106" t="s">
        <v>1606</v>
      </c>
    </row>
    <row r="52" customFormat="false" ht="9.75" hidden="false" customHeight="true" outlineLevel="0" collapsed="false"/>
    <row r="53" customFormat="false" ht="19.5" hidden="false" customHeight="true" outlineLevel="0" collapsed="false">
      <c r="A53" s="21" t="s">
        <v>1607</v>
      </c>
    </row>
    <row r="54" customFormat="false" ht="54.75" hidden="false" customHeight="true" outlineLevel="0" collapsed="false">
      <c r="A54" s="11" t="s">
        <v>1608</v>
      </c>
    </row>
    <row r="55" customFormat="false" ht="30" hidden="false" customHeight="true" outlineLevel="0" collapsed="false">
      <c r="A55" s="11" t="s">
        <v>1609</v>
      </c>
    </row>
    <row r="56" customFormat="false" ht="30" hidden="false" customHeight="true" outlineLevel="0" collapsed="false">
      <c r="A56" s="11" t="s">
        <v>1610</v>
      </c>
    </row>
    <row r="57" customFormat="false" ht="30" hidden="false" customHeight="true" outlineLevel="0" collapsed="false">
      <c r="A57" s="11" t="s">
        <v>1611</v>
      </c>
    </row>
    <row r="58" customFormat="false" ht="42" hidden="false" customHeight="true" outlineLevel="0" collapsed="false">
      <c r="A58" s="11" t="s">
        <v>1612</v>
      </c>
    </row>
    <row r="59" customFormat="false" ht="30" hidden="false" customHeight="true" outlineLevel="0" collapsed="false">
      <c r="A59" s="11" t="s">
        <v>1613</v>
      </c>
    </row>
    <row r="60" customFormat="false" ht="42" hidden="false" customHeight="true" outlineLevel="0" collapsed="false">
      <c r="A60" s="11" t="s">
        <v>1614</v>
      </c>
    </row>
    <row r="61" customFormat="false" ht="42" hidden="false" customHeight="true" outlineLevel="0" collapsed="false">
      <c r="A61" s="11" t="s">
        <v>1615</v>
      </c>
    </row>
    <row r="62" customFormat="false" ht="30" hidden="false" customHeight="true" outlineLevel="0" collapsed="false">
      <c r="A62" s="11" t="s">
        <v>1616</v>
      </c>
    </row>
    <row r="63" customFormat="false" ht="42" hidden="false" customHeight="true" outlineLevel="0" collapsed="false">
      <c r="A63" s="11" t="s">
        <v>1617</v>
      </c>
    </row>
    <row r="64" customFormat="false" ht="30" hidden="false" customHeight="true" outlineLevel="0" collapsed="false">
      <c r="A64" s="11" t="s">
        <v>1618</v>
      </c>
    </row>
    <row r="65" customFormat="false" ht="42" hidden="false" customHeight="true" outlineLevel="0" collapsed="false">
      <c r="A65" s="11" t="s">
        <v>1619</v>
      </c>
    </row>
    <row r="66" customFormat="false" ht="16.5" hidden="false" customHeight="true" outlineLevel="0" collapsed="false">
      <c r="A66" s="11" t="s">
        <v>1620</v>
      </c>
    </row>
    <row r="67" customFormat="false" ht="30" hidden="false" customHeight="true" outlineLevel="0" collapsed="false">
      <c r="A67" s="11" t="s">
        <v>1621</v>
      </c>
    </row>
    <row r="68" customFormat="false" ht="42" hidden="false" customHeight="true" outlineLevel="0" collapsed="false">
      <c r="A68" s="11" t="s">
        <v>1622</v>
      </c>
    </row>
    <row r="69" customFormat="false" ht="42" hidden="false" customHeight="true" outlineLevel="0" collapsed="false">
      <c r="A69" s="11" t="s">
        <v>1623</v>
      </c>
    </row>
    <row r="70" customFormat="false" ht="42" hidden="false" customHeight="true" outlineLevel="0" collapsed="false">
      <c r="A70" s="11" t="s">
        <v>1624</v>
      </c>
    </row>
    <row r="71" customFormat="false" ht="42" hidden="false" customHeight="true" outlineLevel="0" collapsed="false">
      <c r="A71" s="11" t="s">
        <v>1625</v>
      </c>
    </row>
    <row r="72" customFormat="false" ht="30" hidden="false" customHeight="true" outlineLevel="0" collapsed="false">
      <c r="A72" s="11" t="s">
        <v>1626</v>
      </c>
    </row>
    <row r="73" customFormat="false" ht="42" hidden="false" customHeight="true" outlineLevel="0" collapsed="false">
      <c r="A73" s="11" t="s">
        <v>1627</v>
      </c>
    </row>
    <row r="74" customFormat="false" ht="9.75" hidden="false" customHeight="true" outlineLevel="0" collapsed="false"/>
    <row r="75" customFormat="false" ht="19.5" hidden="false" customHeight="true" outlineLevel="0" collapsed="false">
      <c r="A75" s="21" t="s">
        <v>1628</v>
      </c>
    </row>
    <row r="76" customFormat="false" ht="54.75" hidden="false" customHeight="true" outlineLevel="0" collapsed="false">
      <c r="A76" s="11" t="s">
        <v>1629</v>
      </c>
    </row>
    <row r="77" customFormat="false" ht="42" hidden="false" customHeight="true" outlineLevel="0" collapsed="false">
      <c r="A77" s="11" t="s">
        <v>1630</v>
      </c>
    </row>
    <row r="78" customFormat="false" ht="54.75" hidden="false" customHeight="true" outlineLevel="0" collapsed="false">
      <c r="A78" s="11" t="s">
        <v>1631</v>
      </c>
    </row>
    <row r="79" customFormat="false" ht="9.75" hidden="false" customHeight="true" outlineLevel="0" collapsed="false"/>
    <row r="80" customFormat="false" ht="19.5" hidden="false" customHeight="true" outlineLevel="0" collapsed="false">
      <c r="A80" s="21" t="s">
        <v>1632</v>
      </c>
    </row>
    <row r="81" customFormat="false" ht="42" hidden="false" customHeight="true" outlineLevel="0" collapsed="false">
      <c r="A81" s="11" t="s">
        <v>1633</v>
      </c>
    </row>
    <row r="82" customFormat="false" ht="54.75" hidden="false" customHeight="true" outlineLevel="0" collapsed="false">
      <c r="A82" s="11" t="s">
        <v>1634</v>
      </c>
    </row>
    <row r="83" customFormat="false" ht="67.5" hidden="false" customHeight="true" outlineLevel="0" collapsed="false">
      <c r="A83" s="11" t="s">
        <v>1635</v>
      </c>
    </row>
    <row r="84" customFormat="false" ht="67.5" hidden="false" customHeight="true" outlineLevel="0" collapsed="false">
      <c r="A84" s="11" t="s">
        <v>1636</v>
      </c>
    </row>
    <row r="85" customFormat="false" ht="42" hidden="false" customHeight="true" outlineLevel="0" collapsed="false">
      <c r="A85" s="11" t="s">
        <v>1637</v>
      </c>
    </row>
    <row r="86" customFormat="false" ht="42" hidden="false" customHeight="true" outlineLevel="0" collapsed="false">
      <c r="A86" s="11" t="s">
        <v>1638</v>
      </c>
    </row>
    <row r="87" customFormat="false" ht="30" hidden="false" customHeight="true" outlineLevel="0" collapsed="false">
      <c r="A87" s="11" t="s">
        <v>1639</v>
      </c>
    </row>
    <row r="88" customFormat="false" ht="42" hidden="false" customHeight="true" outlineLevel="0" collapsed="false">
      <c r="A88" s="11" t="s">
        <v>1640</v>
      </c>
    </row>
    <row r="89" customFormat="false" ht="42" hidden="false" customHeight="true" outlineLevel="0" collapsed="false">
      <c r="A89" s="11" t="s">
        <v>1641</v>
      </c>
    </row>
    <row r="90" customFormat="false" ht="54.75" hidden="false" customHeight="true" outlineLevel="0" collapsed="false">
      <c r="A90" s="11" t="s">
        <v>1642</v>
      </c>
    </row>
    <row r="91" customFormat="false" ht="42" hidden="false" customHeight="true" outlineLevel="0" collapsed="false">
      <c r="A91" s="11" t="s">
        <v>1643</v>
      </c>
    </row>
    <row r="92" customFormat="false" ht="54.75" hidden="false" customHeight="true" outlineLevel="0" collapsed="false">
      <c r="A92" s="11" t="s">
        <v>1644</v>
      </c>
    </row>
    <row r="93" customFormat="false" ht="42" hidden="false" customHeight="true" outlineLevel="0" collapsed="false">
      <c r="A93" s="11" t="s">
        <v>1645</v>
      </c>
    </row>
    <row r="94" customFormat="false" ht="42" hidden="false" customHeight="true" outlineLevel="0" collapsed="false">
      <c r="A94" s="11" t="s">
        <v>1646</v>
      </c>
    </row>
    <row r="95" customFormat="false" ht="42" hidden="false" customHeight="true" outlineLevel="0" collapsed="false">
      <c r="A95" s="11" t="s">
        <v>1647</v>
      </c>
    </row>
    <row r="96" customFormat="false" ht="48" hidden="false" customHeight="true" outlineLevel="0" collapsed="false">
      <c r="A96" s="11" t="s">
        <v>1648</v>
      </c>
    </row>
  </sheetData>
  <mergeCells count="2">
    <mergeCell ref="A1:H1"/>
    <mergeCell ref="A2:H2"/>
  </mergeCells>
  <printOptions headings="false" gridLines="false" gridLinesSet="true" horizontalCentered="false" verticalCentered="false"/>
  <pageMargins left="0.75" right="0.75" top="1" bottom="1" header="0.511811023622047" footer="0.511805555555556"/>
  <pageSetup paperSize="5" scale="100" fitToWidth="1" fitToHeight="0" pageOrder="downThenOver" orientation="landscape" blackAndWhite="false" draft="false" cellComments="none" horizontalDpi="300" verticalDpi="300" copies="1"/>
  <headerFooter differentFirst="false" differentOddEven="false">
    <oddHeader/>
    <oddFooter>&amp;L&amp;8 IFT Sourced Evidence Master  |  verified 09 July 2026&amp;R&amp;8 &amp;A  |  page &amp;P of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26"/>
    <col collapsed="false" customWidth="true" hidden="false" outlineLevel="0" max="3" min="3" style="1" width="50"/>
    <col collapsed="false" customWidth="true" hidden="false" outlineLevel="0" max="4" min="4" style="1" width="24"/>
    <col collapsed="false" customWidth="true" hidden="false" outlineLevel="0" max="5" min="5" style="1" width="44"/>
    <col collapsed="false" customWidth="true" hidden="false" outlineLevel="0" max="6" min="6" style="1" width="7"/>
    <col collapsed="false" customWidth="true" hidden="false" outlineLevel="0" max="7" min="7" style="1" width="12"/>
    <col collapsed="false" customWidth="true" hidden="false" outlineLevel="0" max="8" min="8" style="1" width="44"/>
  </cols>
  <sheetData>
    <row r="1" customFormat="false" ht="24" hidden="false" customHeight="true" outlineLevel="0" collapsed="false">
      <c r="A1" s="14" t="s">
        <v>1649</v>
      </c>
      <c r="B1" s="14"/>
      <c r="C1" s="14"/>
      <c r="D1" s="14"/>
      <c r="E1" s="14"/>
      <c r="F1" s="14"/>
      <c r="G1" s="14"/>
      <c r="H1" s="14"/>
    </row>
    <row r="2" customFormat="false" ht="30" hidden="false" customHeight="true" outlineLevel="0" collapsed="false">
      <c r="A2" s="3" t="s">
        <v>1650</v>
      </c>
      <c r="B2" s="3"/>
      <c r="C2" s="3"/>
      <c r="D2" s="3"/>
      <c r="E2" s="3"/>
      <c r="F2" s="3"/>
      <c r="G2" s="3"/>
      <c r="H2" s="3"/>
    </row>
    <row r="3" customFormat="false" ht="13.5" hidden="false" customHeight="true" outlineLevel="0" collapsed="false"/>
    <row r="4" customFormat="false" ht="24" hidden="false" customHeight="true" outlineLevel="0" collapsed="false">
      <c r="A4" s="7" t="s">
        <v>1651</v>
      </c>
      <c r="B4" s="7" t="s">
        <v>1429</v>
      </c>
      <c r="C4" s="7" t="s">
        <v>1430</v>
      </c>
      <c r="D4" s="7" t="s">
        <v>1652</v>
      </c>
      <c r="E4" s="7" t="s">
        <v>728</v>
      </c>
      <c r="F4" s="7" t="s">
        <v>726</v>
      </c>
      <c r="G4" s="7" t="s">
        <v>1653</v>
      </c>
      <c r="H4" s="7" t="s">
        <v>1654</v>
      </c>
    </row>
    <row r="5" customFormat="false" ht="30" hidden="false" customHeight="true" outlineLevel="0" collapsed="false">
      <c r="A5" s="8" t="s">
        <v>737</v>
      </c>
      <c r="B5" s="9" t="s">
        <v>1434</v>
      </c>
      <c r="C5" s="9" t="s">
        <v>1435</v>
      </c>
      <c r="D5" s="9" t="s">
        <v>1436</v>
      </c>
      <c r="E5" s="9" t="s">
        <v>1437</v>
      </c>
      <c r="F5" s="9" t="s">
        <v>736</v>
      </c>
      <c r="G5" s="9" t="s">
        <v>1655</v>
      </c>
      <c r="H5" s="9" t="s">
        <v>1656</v>
      </c>
    </row>
    <row r="6" customFormat="false" ht="16.5" hidden="false" customHeight="true" outlineLevel="0" collapsed="false">
      <c r="A6" s="8" t="s">
        <v>858</v>
      </c>
      <c r="B6" s="9" t="s">
        <v>1434</v>
      </c>
      <c r="C6" s="9" t="s">
        <v>1440</v>
      </c>
      <c r="D6" s="9" t="s">
        <v>1441</v>
      </c>
      <c r="E6" s="9" t="s">
        <v>1657</v>
      </c>
      <c r="F6" s="9" t="s">
        <v>736</v>
      </c>
      <c r="G6" s="9" t="s">
        <v>1655</v>
      </c>
      <c r="H6" s="9" t="s">
        <v>1658</v>
      </c>
    </row>
    <row r="7" customFormat="false" ht="16.5" hidden="false" customHeight="true" outlineLevel="0" collapsed="false">
      <c r="A7" s="8" t="s">
        <v>862</v>
      </c>
      <c r="B7" s="9" t="s">
        <v>1434</v>
      </c>
      <c r="C7" s="9" t="s">
        <v>1445</v>
      </c>
      <c r="D7" s="9" t="s">
        <v>1446</v>
      </c>
      <c r="E7" s="9" t="s">
        <v>1659</v>
      </c>
      <c r="F7" s="9" t="s">
        <v>736</v>
      </c>
      <c r="G7" s="9" t="s">
        <v>1655</v>
      </c>
      <c r="H7" s="9" t="s">
        <v>1660</v>
      </c>
    </row>
    <row r="8" customFormat="false" ht="30" hidden="false" customHeight="true" outlineLevel="0" collapsed="false">
      <c r="A8" s="8" t="s">
        <v>100</v>
      </c>
      <c r="B8" s="9" t="s">
        <v>1434</v>
      </c>
      <c r="C8" s="9" t="s">
        <v>1449</v>
      </c>
      <c r="D8" s="9" t="s">
        <v>1436</v>
      </c>
      <c r="E8" s="9" t="s">
        <v>1661</v>
      </c>
      <c r="F8" s="9" t="s">
        <v>736</v>
      </c>
      <c r="G8" s="9" t="s">
        <v>1655</v>
      </c>
      <c r="H8" s="9" t="s">
        <v>1662</v>
      </c>
    </row>
    <row r="9" customFormat="false" ht="30" hidden="false" customHeight="true" outlineLevel="0" collapsed="false">
      <c r="A9" s="8" t="s">
        <v>1453</v>
      </c>
      <c r="B9" s="9" t="s">
        <v>1454</v>
      </c>
      <c r="C9" s="9" t="s">
        <v>1455</v>
      </c>
      <c r="D9" s="9" t="s">
        <v>1663</v>
      </c>
      <c r="E9" s="9" t="s">
        <v>1457</v>
      </c>
      <c r="F9" s="9" t="s">
        <v>736</v>
      </c>
      <c r="G9" s="9" t="s">
        <v>1655</v>
      </c>
      <c r="H9" s="9" t="s">
        <v>1125</v>
      </c>
    </row>
    <row r="10" customFormat="false" ht="30" hidden="false" customHeight="true" outlineLevel="0" collapsed="false">
      <c r="A10" s="8" t="s">
        <v>1460</v>
      </c>
      <c r="B10" s="9" t="s">
        <v>1454</v>
      </c>
      <c r="C10" s="9" t="s">
        <v>1664</v>
      </c>
      <c r="D10" s="9" t="s">
        <v>1665</v>
      </c>
      <c r="E10" s="9" t="s">
        <v>1463</v>
      </c>
      <c r="F10" s="9" t="s">
        <v>736</v>
      </c>
      <c r="G10" s="9" t="s">
        <v>1655</v>
      </c>
      <c r="H10" s="9" t="s">
        <v>1125</v>
      </c>
    </row>
    <row r="11" customFormat="false" ht="30" hidden="false" customHeight="true" outlineLevel="0" collapsed="false">
      <c r="A11" s="8" t="s">
        <v>1466</v>
      </c>
      <c r="B11" s="9" t="s">
        <v>1454</v>
      </c>
      <c r="C11" s="9" t="s">
        <v>1666</v>
      </c>
      <c r="D11" s="9" t="s">
        <v>1667</v>
      </c>
      <c r="E11" s="9" t="s">
        <v>1463</v>
      </c>
      <c r="F11" s="9" t="s">
        <v>736</v>
      </c>
      <c r="G11" s="9" t="s">
        <v>1655</v>
      </c>
      <c r="H11" s="9" t="s">
        <v>1125</v>
      </c>
    </row>
    <row r="12" customFormat="false" ht="30" hidden="false" customHeight="true" outlineLevel="0" collapsed="false">
      <c r="A12" s="8" t="s">
        <v>1471</v>
      </c>
      <c r="B12" s="9" t="s">
        <v>1454</v>
      </c>
      <c r="C12" s="9" t="s">
        <v>1668</v>
      </c>
      <c r="D12" s="9" t="s">
        <v>1669</v>
      </c>
      <c r="E12" s="9" t="s">
        <v>1463</v>
      </c>
      <c r="F12" s="9" t="s">
        <v>736</v>
      </c>
      <c r="G12" s="9" t="s">
        <v>1655</v>
      </c>
      <c r="H12" s="9" t="s">
        <v>1125</v>
      </c>
    </row>
    <row r="13" customFormat="false" ht="30" hidden="false" customHeight="true" outlineLevel="0" collapsed="false">
      <c r="A13" s="8" t="s">
        <v>802</v>
      </c>
      <c r="B13" s="9" t="s">
        <v>1454</v>
      </c>
      <c r="C13" s="9" t="s">
        <v>1670</v>
      </c>
      <c r="D13" s="9" t="s">
        <v>1671</v>
      </c>
      <c r="E13" s="9" t="s">
        <v>1463</v>
      </c>
      <c r="F13" s="9" t="s">
        <v>736</v>
      </c>
      <c r="G13" s="9" t="s">
        <v>1655</v>
      </c>
      <c r="H13" s="9" t="s">
        <v>1125</v>
      </c>
    </row>
    <row r="14" customFormat="false" ht="30" hidden="false" customHeight="true" outlineLevel="0" collapsed="false">
      <c r="A14" s="8" t="s">
        <v>1480</v>
      </c>
      <c r="B14" s="9" t="s">
        <v>1454</v>
      </c>
      <c r="C14" s="9" t="s">
        <v>1672</v>
      </c>
      <c r="D14" s="9" t="s">
        <v>1673</v>
      </c>
      <c r="E14" s="9" t="s">
        <v>1463</v>
      </c>
      <c r="F14" s="9" t="s">
        <v>736</v>
      </c>
      <c r="G14" s="9" t="s">
        <v>1655</v>
      </c>
      <c r="H14" s="9" t="s">
        <v>1125</v>
      </c>
    </row>
    <row r="15" customFormat="false" ht="30" hidden="false" customHeight="true" outlineLevel="0" collapsed="false">
      <c r="A15" s="8" t="s">
        <v>807</v>
      </c>
      <c r="B15" s="9" t="s">
        <v>1454</v>
      </c>
      <c r="C15" s="9" t="s">
        <v>1674</v>
      </c>
      <c r="D15" s="9" t="s">
        <v>1675</v>
      </c>
      <c r="E15" s="9" t="s">
        <v>1463</v>
      </c>
      <c r="F15" s="9" t="s">
        <v>736</v>
      </c>
      <c r="G15" s="9" t="s">
        <v>1655</v>
      </c>
      <c r="H15" s="9" t="s">
        <v>1125</v>
      </c>
    </row>
    <row r="16" customFormat="false" ht="30" hidden="false" customHeight="true" outlineLevel="0" collapsed="false">
      <c r="A16" s="8" t="s">
        <v>826</v>
      </c>
      <c r="B16" s="9" t="s">
        <v>1489</v>
      </c>
      <c r="C16" s="9" t="s">
        <v>1676</v>
      </c>
      <c r="D16" s="9" t="s">
        <v>1677</v>
      </c>
      <c r="E16" s="9" t="s">
        <v>1678</v>
      </c>
      <c r="F16" s="9" t="s">
        <v>736</v>
      </c>
      <c r="G16" s="9" t="s">
        <v>1655</v>
      </c>
      <c r="H16" s="9" t="s">
        <v>1679</v>
      </c>
    </row>
    <row r="17" customFormat="false" ht="16.5" hidden="false" customHeight="true" outlineLevel="0" collapsed="false">
      <c r="A17" s="8" t="s">
        <v>298</v>
      </c>
      <c r="B17" s="9" t="s">
        <v>1495</v>
      </c>
      <c r="C17" s="9" t="s">
        <v>1680</v>
      </c>
      <c r="D17" s="9" t="s">
        <v>1681</v>
      </c>
      <c r="E17" s="9" t="s">
        <v>1682</v>
      </c>
      <c r="F17" s="9" t="s">
        <v>736</v>
      </c>
      <c r="G17" s="9" t="s">
        <v>1655</v>
      </c>
      <c r="H17" s="9" t="s">
        <v>105</v>
      </c>
    </row>
    <row r="18" customFormat="false" ht="16.5" hidden="false" customHeight="true" outlineLevel="0" collapsed="false">
      <c r="A18" s="8" t="s">
        <v>1501</v>
      </c>
      <c r="B18" s="9" t="s">
        <v>1495</v>
      </c>
      <c r="C18" s="9" t="s">
        <v>1502</v>
      </c>
      <c r="D18" s="9" t="s">
        <v>1503</v>
      </c>
      <c r="E18" s="9" t="s">
        <v>1504</v>
      </c>
      <c r="F18" s="9" t="s">
        <v>845</v>
      </c>
      <c r="G18" s="9" t="s">
        <v>1655</v>
      </c>
      <c r="H18" s="9" t="s">
        <v>1683</v>
      </c>
    </row>
    <row r="19" customFormat="false" ht="16.5" hidden="false" customHeight="true" outlineLevel="0" collapsed="false">
      <c r="A19" s="8" t="s">
        <v>1507</v>
      </c>
      <c r="B19" s="9" t="s">
        <v>1495</v>
      </c>
      <c r="C19" s="9" t="s">
        <v>1508</v>
      </c>
      <c r="D19" s="9" t="s">
        <v>1684</v>
      </c>
      <c r="E19" s="9" t="s">
        <v>1510</v>
      </c>
      <c r="F19" s="9" t="s">
        <v>845</v>
      </c>
      <c r="G19" s="9" t="s">
        <v>1655</v>
      </c>
      <c r="H19" s="9" t="s">
        <v>132</v>
      </c>
    </row>
    <row r="20" customFormat="false" ht="16.5" hidden="false" customHeight="true" outlineLevel="0" collapsed="false">
      <c r="A20" s="8" t="s">
        <v>1513</v>
      </c>
      <c r="B20" s="9" t="s">
        <v>1514</v>
      </c>
      <c r="C20" s="9" t="s">
        <v>1515</v>
      </c>
      <c r="D20" s="9" t="s">
        <v>1516</v>
      </c>
      <c r="E20" s="9" t="s">
        <v>1685</v>
      </c>
      <c r="F20" s="9" t="s">
        <v>736</v>
      </c>
      <c r="G20" s="9" t="s">
        <v>1655</v>
      </c>
      <c r="H20" s="9" t="s">
        <v>132</v>
      </c>
    </row>
    <row r="21" customFormat="false" ht="30" hidden="false" customHeight="true" outlineLevel="0" collapsed="false">
      <c r="A21" s="8" t="s">
        <v>1520</v>
      </c>
      <c r="B21" s="9" t="s">
        <v>1514</v>
      </c>
      <c r="C21" s="9" t="s">
        <v>1521</v>
      </c>
      <c r="D21" s="9" t="s">
        <v>1522</v>
      </c>
      <c r="E21" s="9" t="s">
        <v>1523</v>
      </c>
      <c r="F21" s="9" t="s">
        <v>736</v>
      </c>
      <c r="G21" s="9" t="s">
        <v>1655</v>
      </c>
      <c r="H21" s="9" t="s">
        <v>22</v>
      </c>
    </row>
    <row r="22" customFormat="false" ht="16.5" hidden="false" customHeight="true" outlineLevel="0" collapsed="false">
      <c r="A22" s="8" t="s">
        <v>1526</v>
      </c>
      <c r="B22" s="9" t="s">
        <v>1495</v>
      </c>
      <c r="C22" s="9" t="s">
        <v>1686</v>
      </c>
      <c r="D22" s="9" t="s">
        <v>1503</v>
      </c>
      <c r="E22" s="9" t="s">
        <v>1528</v>
      </c>
      <c r="F22" s="9" t="s">
        <v>736</v>
      </c>
      <c r="G22" s="9" t="s">
        <v>1655</v>
      </c>
      <c r="H22" s="9" t="s">
        <v>132</v>
      </c>
    </row>
    <row r="23" customFormat="false" ht="16.5" hidden="false" customHeight="true" outlineLevel="0" collapsed="false">
      <c r="A23" s="8" t="s">
        <v>1531</v>
      </c>
      <c r="B23" s="9" t="s">
        <v>1495</v>
      </c>
      <c r="C23" s="9" t="s">
        <v>1532</v>
      </c>
      <c r="D23" s="9" t="s">
        <v>1533</v>
      </c>
      <c r="E23" s="9" t="s">
        <v>1534</v>
      </c>
      <c r="F23" s="9" t="s">
        <v>845</v>
      </c>
      <c r="G23" s="9" t="s">
        <v>1655</v>
      </c>
      <c r="H23" s="9" t="s">
        <v>132</v>
      </c>
    </row>
    <row r="24" customFormat="false" ht="16.5" hidden="false" customHeight="true" outlineLevel="0" collapsed="false">
      <c r="A24" s="8" t="s">
        <v>1537</v>
      </c>
      <c r="B24" s="9" t="s">
        <v>1514</v>
      </c>
      <c r="C24" s="9" t="s">
        <v>1538</v>
      </c>
      <c r="D24" s="9" t="s">
        <v>1516</v>
      </c>
      <c r="E24" s="9" t="s">
        <v>1539</v>
      </c>
      <c r="F24" s="9" t="s">
        <v>736</v>
      </c>
      <c r="G24" s="9" t="s">
        <v>1655</v>
      </c>
      <c r="H24" s="9" t="s">
        <v>1687</v>
      </c>
    </row>
    <row r="25" customFormat="false" ht="16.5" hidden="false" customHeight="true" outlineLevel="0" collapsed="false">
      <c r="A25" s="8" t="s">
        <v>1541</v>
      </c>
      <c r="B25" s="9" t="s">
        <v>1542</v>
      </c>
      <c r="C25" s="9" t="s">
        <v>1543</v>
      </c>
      <c r="D25" s="9" t="s">
        <v>1544</v>
      </c>
      <c r="E25" s="9" t="s">
        <v>1545</v>
      </c>
      <c r="F25" s="9" t="s">
        <v>845</v>
      </c>
      <c r="G25" s="9" t="s">
        <v>1655</v>
      </c>
      <c r="H25" s="9" t="s">
        <v>132</v>
      </c>
    </row>
    <row r="26" customFormat="false" ht="30" hidden="false" customHeight="true" outlineLevel="0" collapsed="false">
      <c r="A26" s="8" t="s">
        <v>1548</v>
      </c>
      <c r="B26" s="9" t="s">
        <v>1495</v>
      </c>
      <c r="C26" s="9" t="s">
        <v>1688</v>
      </c>
      <c r="D26" s="9" t="s">
        <v>1550</v>
      </c>
      <c r="E26" s="9" t="s">
        <v>1689</v>
      </c>
      <c r="F26" s="9" t="s">
        <v>845</v>
      </c>
      <c r="G26" s="9" t="s">
        <v>1655</v>
      </c>
      <c r="H26" s="9" t="s">
        <v>144</v>
      </c>
    </row>
    <row r="27" customFormat="false" ht="16.5" hidden="false" customHeight="true" outlineLevel="0" collapsed="false">
      <c r="A27" s="8" t="s">
        <v>942</v>
      </c>
      <c r="B27" s="9" t="s">
        <v>1495</v>
      </c>
      <c r="C27" s="9" t="s">
        <v>1690</v>
      </c>
      <c r="D27" s="9" t="s">
        <v>1691</v>
      </c>
      <c r="E27" s="9" t="s">
        <v>1556</v>
      </c>
      <c r="F27" s="9" t="s">
        <v>940</v>
      </c>
      <c r="G27" s="9" t="s">
        <v>1692</v>
      </c>
      <c r="H27" s="9" t="s">
        <v>144</v>
      </c>
    </row>
    <row r="28" customFormat="false" ht="16.5" hidden="false" customHeight="true" outlineLevel="0" collapsed="false">
      <c r="A28" s="8" t="s">
        <v>952</v>
      </c>
      <c r="B28" s="9" t="s">
        <v>1495</v>
      </c>
      <c r="C28" s="9" t="s">
        <v>1693</v>
      </c>
      <c r="D28" s="9" t="s">
        <v>1560</v>
      </c>
      <c r="E28" s="9" t="s">
        <v>1561</v>
      </c>
      <c r="F28" s="9" t="s">
        <v>940</v>
      </c>
      <c r="G28" s="9" t="s">
        <v>1692</v>
      </c>
      <c r="H28" s="9" t="s">
        <v>994</v>
      </c>
    </row>
    <row r="29" customFormat="false" ht="16.5" hidden="false" customHeight="true" outlineLevel="0" collapsed="false">
      <c r="A29" s="8" t="s">
        <v>867</v>
      </c>
      <c r="B29" s="9" t="s">
        <v>1563</v>
      </c>
      <c r="C29" s="9" t="s">
        <v>1564</v>
      </c>
      <c r="D29" s="9" t="s">
        <v>866</v>
      </c>
      <c r="E29" s="9" t="s">
        <v>1565</v>
      </c>
      <c r="F29" s="9" t="s">
        <v>736</v>
      </c>
      <c r="G29" s="9" t="s">
        <v>1655</v>
      </c>
      <c r="H29" s="9" t="s">
        <v>101</v>
      </c>
    </row>
    <row r="30" customFormat="false" ht="16.5" hidden="false" customHeight="true" outlineLevel="0" collapsed="false">
      <c r="A30" s="8" t="s">
        <v>1568</v>
      </c>
      <c r="B30" s="9" t="s">
        <v>1563</v>
      </c>
      <c r="C30" s="9" t="s">
        <v>1569</v>
      </c>
      <c r="D30" s="9" t="s">
        <v>1570</v>
      </c>
      <c r="E30" s="9" t="s">
        <v>1694</v>
      </c>
      <c r="F30" s="9" t="s">
        <v>845</v>
      </c>
      <c r="G30" s="9" t="s">
        <v>1655</v>
      </c>
      <c r="H30" s="9" t="s">
        <v>160</v>
      </c>
    </row>
    <row r="31" customFormat="false" ht="30" hidden="false" customHeight="true" outlineLevel="0" collapsed="false">
      <c r="A31" s="8" t="s">
        <v>958</v>
      </c>
      <c r="B31" s="9" t="s">
        <v>1574</v>
      </c>
      <c r="C31" s="9" t="s">
        <v>1575</v>
      </c>
      <c r="D31" s="9" t="s">
        <v>1695</v>
      </c>
      <c r="E31" s="9" t="s">
        <v>1576</v>
      </c>
      <c r="F31" s="9" t="s">
        <v>736</v>
      </c>
      <c r="G31" s="9" t="s">
        <v>1655</v>
      </c>
      <c r="H31" s="9" t="s">
        <v>1696</v>
      </c>
    </row>
    <row r="32" customFormat="false" ht="30" hidden="false" customHeight="true" outlineLevel="0" collapsed="false">
      <c r="A32" s="8" t="s">
        <v>331</v>
      </c>
      <c r="B32" s="9" t="s">
        <v>1542</v>
      </c>
      <c r="C32" s="9" t="s">
        <v>1579</v>
      </c>
      <c r="D32" s="9" t="s">
        <v>1580</v>
      </c>
      <c r="E32" s="9" t="s">
        <v>1581</v>
      </c>
      <c r="F32" s="9" t="s">
        <v>736</v>
      </c>
      <c r="G32" s="9" t="s">
        <v>1655</v>
      </c>
      <c r="H32" s="9" t="s">
        <v>1697</v>
      </c>
    </row>
    <row r="33" customFormat="false" ht="30" hidden="false" customHeight="true" outlineLevel="0" collapsed="false">
      <c r="A33" s="8" t="s">
        <v>907</v>
      </c>
      <c r="B33" s="9" t="s">
        <v>1495</v>
      </c>
      <c r="C33" s="9" t="s">
        <v>1698</v>
      </c>
      <c r="D33" s="9" t="s">
        <v>985</v>
      </c>
      <c r="E33" s="9" t="s">
        <v>1585</v>
      </c>
      <c r="F33" s="9" t="s">
        <v>736</v>
      </c>
      <c r="G33" s="9" t="s">
        <v>1655</v>
      </c>
      <c r="H33" s="9" t="s">
        <v>132</v>
      </c>
    </row>
    <row r="34" customFormat="false" ht="16.5" hidden="false" customHeight="true" outlineLevel="0" collapsed="false">
      <c r="A34" s="8" t="s">
        <v>314</v>
      </c>
      <c r="B34" s="9" t="s">
        <v>1588</v>
      </c>
      <c r="C34" s="9" t="s">
        <v>1699</v>
      </c>
      <c r="D34" s="9" t="s">
        <v>1700</v>
      </c>
      <c r="E34" s="9" t="s">
        <v>1591</v>
      </c>
      <c r="F34" s="9" t="s">
        <v>736</v>
      </c>
      <c r="G34" s="9" t="s">
        <v>1655</v>
      </c>
      <c r="H34" s="9" t="s">
        <v>144</v>
      </c>
    </row>
    <row r="35" customFormat="false" ht="16.5" hidden="false" customHeight="true" outlineLevel="0" collapsed="false">
      <c r="A35" s="8" t="s">
        <v>350</v>
      </c>
      <c r="B35" s="9" t="s">
        <v>1542</v>
      </c>
      <c r="C35" s="9" t="s">
        <v>1701</v>
      </c>
      <c r="D35" s="9" t="s">
        <v>1702</v>
      </c>
      <c r="E35" s="9" t="s">
        <v>1703</v>
      </c>
      <c r="F35" s="9" t="s">
        <v>736</v>
      </c>
      <c r="G35" s="9" t="s">
        <v>1655</v>
      </c>
      <c r="H35" s="9" t="s">
        <v>1704</v>
      </c>
    </row>
    <row r="36" customFormat="false" ht="16.5" hidden="false" customHeight="true" outlineLevel="0" collapsed="false">
      <c r="A36" s="8" t="s">
        <v>112</v>
      </c>
      <c r="B36" s="9" t="s">
        <v>1495</v>
      </c>
      <c r="C36" s="9" t="s">
        <v>1705</v>
      </c>
      <c r="D36" s="9" t="s">
        <v>1706</v>
      </c>
      <c r="E36" s="9" t="s">
        <v>1707</v>
      </c>
      <c r="F36" s="9" t="s">
        <v>736</v>
      </c>
      <c r="G36" s="9" t="s">
        <v>1655</v>
      </c>
      <c r="H36" s="9" t="s">
        <v>109</v>
      </c>
    </row>
    <row r="37" customFormat="false" ht="30" hidden="false" customHeight="true" outlineLevel="0" collapsed="false">
      <c r="A37" s="8" t="s">
        <v>357</v>
      </c>
      <c r="B37" s="9" t="s">
        <v>1495</v>
      </c>
      <c r="C37" s="9" t="s">
        <v>1708</v>
      </c>
      <c r="D37" s="9" t="s">
        <v>1709</v>
      </c>
      <c r="E37" s="9" t="s">
        <v>1710</v>
      </c>
      <c r="F37" s="9" t="s">
        <v>736</v>
      </c>
      <c r="G37" s="9" t="s">
        <v>1655</v>
      </c>
      <c r="H37" s="9" t="s">
        <v>1711</v>
      </c>
    </row>
    <row r="38" customFormat="false" ht="30" hidden="false" customHeight="true" outlineLevel="0" collapsed="false">
      <c r="A38" s="8" t="s">
        <v>1154</v>
      </c>
      <c r="B38" s="9" t="s">
        <v>1454</v>
      </c>
      <c r="C38" s="9" t="s">
        <v>1712</v>
      </c>
      <c r="D38" s="9" t="s">
        <v>1713</v>
      </c>
      <c r="E38" s="9" t="s">
        <v>1714</v>
      </c>
      <c r="F38" s="9" t="s">
        <v>736</v>
      </c>
      <c r="G38" s="9" t="s">
        <v>1655</v>
      </c>
      <c r="H38" s="9" t="s">
        <v>1125</v>
      </c>
    </row>
    <row r="39" customFormat="false" ht="30" hidden="false" customHeight="true" outlineLevel="0" collapsed="false">
      <c r="A39" s="8" t="s">
        <v>365</v>
      </c>
      <c r="B39" s="9" t="s">
        <v>1715</v>
      </c>
      <c r="C39" s="9" t="s">
        <v>1716</v>
      </c>
      <c r="D39" s="9" t="s">
        <v>1717</v>
      </c>
      <c r="E39" s="9" t="s">
        <v>1718</v>
      </c>
      <c r="F39" s="9" t="s">
        <v>736</v>
      </c>
      <c r="G39" s="9" t="s">
        <v>1655</v>
      </c>
      <c r="H39" s="9" t="s">
        <v>1125</v>
      </c>
    </row>
    <row r="40" customFormat="false" ht="42" hidden="false" customHeight="true" outlineLevel="0" collapsed="false">
      <c r="A40" s="8" t="s">
        <v>1719</v>
      </c>
      <c r="B40" s="9" t="s">
        <v>1720</v>
      </c>
      <c r="C40" s="9" t="s">
        <v>1721</v>
      </c>
      <c r="D40" s="9" t="s">
        <v>1722</v>
      </c>
      <c r="E40" s="9" t="s">
        <v>1723</v>
      </c>
      <c r="F40" s="9" t="s">
        <v>736</v>
      </c>
      <c r="G40" s="9" t="s">
        <v>1655</v>
      </c>
      <c r="H40" s="9" t="s">
        <v>1125</v>
      </c>
    </row>
    <row r="41" customFormat="false" ht="30" hidden="false" customHeight="true" outlineLevel="0" collapsed="false">
      <c r="A41" s="8" t="s">
        <v>1724</v>
      </c>
      <c r="B41" s="9" t="s">
        <v>1725</v>
      </c>
      <c r="C41" s="9" t="s">
        <v>1726</v>
      </c>
      <c r="D41" s="9" t="s">
        <v>1727</v>
      </c>
      <c r="E41" s="9" t="s">
        <v>1728</v>
      </c>
      <c r="F41" s="9" t="s">
        <v>736</v>
      </c>
      <c r="G41" s="9" t="s">
        <v>1655</v>
      </c>
      <c r="H41" s="9" t="s">
        <v>1125</v>
      </c>
    </row>
    <row r="42" customFormat="false" ht="30" hidden="false" customHeight="true" outlineLevel="0" collapsed="false">
      <c r="A42" s="8" t="s">
        <v>1729</v>
      </c>
      <c r="B42" s="9" t="s">
        <v>1730</v>
      </c>
      <c r="C42" s="9" t="s">
        <v>1731</v>
      </c>
      <c r="D42" s="9" t="s">
        <v>1732</v>
      </c>
      <c r="E42" s="9" t="s">
        <v>1733</v>
      </c>
      <c r="F42" s="9" t="s">
        <v>736</v>
      </c>
      <c r="G42" s="9" t="s">
        <v>1655</v>
      </c>
      <c r="H42" s="9" t="s">
        <v>1125</v>
      </c>
    </row>
    <row r="43" customFormat="false" ht="30" hidden="false" customHeight="true" outlineLevel="0" collapsed="false">
      <c r="A43" s="8" t="s">
        <v>116</v>
      </c>
      <c r="B43" s="9" t="s">
        <v>1495</v>
      </c>
      <c r="C43" s="9" t="s">
        <v>1734</v>
      </c>
      <c r="D43" s="9" t="s">
        <v>1735</v>
      </c>
      <c r="E43" s="9" t="s">
        <v>1736</v>
      </c>
      <c r="F43" s="9" t="s">
        <v>736</v>
      </c>
      <c r="G43" s="9" t="s">
        <v>1737</v>
      </c>
      <c r="H43" s="9" t="s">
        <v>1738</v>
      </c>
    </row>
    <row r="44" customFormat="false" ht="16.5" hidden="false" customHeight="true" outlineLevel="0" collapsed="false">
      <c r="A44" s="8" t="s">
        <v>384</v>
      </c>
      <c r="B44" s="9" t="s">
        <v>1495</v>
      </c>
      <c r="C44" s="9" t="s">
        <v>1739</v>
      </c>
      <c r="D44" s="9" t="s">
        <v>1706</v>
      </c>
      <c r="E44" s="9" t="s">
        <v>1740</v>
      </c>
      <c r="F44" s="9" t="s">
        <v>736</v>
      </c>
      <c r="G44" s="9" t="s">
        <v>1737</v>
      </c>
      <c r="H44" s="9" t="s">
        <v>124</v>
      </c>
    </row>
    <row r="45" customFormat="false" ht="30" hidden="false" customHeight="true" outlineLevel="0" collapsed="false">
      <c r="A45" s="8" t="s">
        <v>1208</v>
      </c>
      <c r="B45" s="9" t="s">
        <v>1495</v>
      </c>
      <c r="C45" s="9" t="s">
        <v>1741</v>
      </c>
      <c r="D45" s="9" t="s">
        <v>1742</v>
      </c>
      <c r="E45" s="9" t="s">
        <v>1743</v>
      </c>
      <c r="F45" s="9" t="s">
        <v>736</v>
      </c>
      <c r="G45" s="9" t="s">
        <v>1737</v>
      </c>
      <c r="H45" s="9" t="s">
        <v>128</v>
      </c>
    </row>
    <row r="46" customFormat="false" ht="42" hidden="false" customHeight="true" outlineLevel="0" collapsed="false">
      <c r="A46" s="8" t="s">
        <v>1203</v>
      </c>
      <c r="B46" s="9" t="s">
        <v>1744</v>
      </c>
      <c r="C46" s="9" t="s">
        <v>1745</v>
      </c>
      <c r="D46" s="9" t="s">
        <v>1746</v>
      </c>
      <c r="E46" s="9" t="s">
        <v>1747</v>
      </c>
      <c r="F46" s="9" t="s">
        <v>736</v>
      </c>
      <c r="G46" s="9" t="s">
        <v>1737</v>
      </c>
      <c r="H46" s="9" t="s">
        <v>128</v>
      </c>
    </row>
    <row r="47" customFormat="false" ht="30" hidden="false" customHeight="true" outlineLevel="0" collapsed="false">
      <c r="A47" s="8" t="s">
        <v>1234</v>
      </c>
      <c r="B47" s="9" t="s">
        <v>1748</v>
      </c>
      <c r="C47" s="9" t="s">
        <v>1749</v>
      </c>
      <c r="D47" s="9" t="s">
        <v>1750</v>
      </c>
      <c r="E47" s="9" t="s">
        <v>1751</v>
      </c>
      <c r="F47" s="9" t="s">
        <v>736</v>
      </c>
      <c r="G47" s="9" t="s">
        <v>1737</v>
      </c>
      <c r="H47" s="9" t="s">
        <v>136</v>
      </c>
    </row>
    <row r="48" customFormat="false" ht="30" hidden="false" customHeight="true" outlineLevel="0" collapsed="false">
      <c r="A48" s="8" t="s">
        <v>1228</v>
      </c>
      <c r="B48" s="9" t="s">
        <v>1748</v>
      </c>
      <c r="C48" s="9" t="s">
        <v>1752</v>
      </c>
      <c r="D48" s="9" t="s">
        <v>1753</v>
      </c>
      <c r="E48" s="9" t="s">
        <v>1754</v>
      </c>
      <c r="F48" s="9" t="s">
        <v>736</v>
      </c>
      <c r="G48" s="9" t="s">
        <v>1737</v>
      </c>
      <c r="H48" s="9" t="s">
        <v>1755</v>
      </c>
    </row>
    <row r="49" customFormat="false" ht="30" hidden="false" customHeight="true" outlineLevel="0" collapsed="false">
      <c r="A49" s="8" t="s">
        <v>1756</v>
      </c>
      <c r="B49" s="9" t="s">
        <v>1748</v>
      </c>
      <c r="C49" s="9" t="s">
        <v>1757</v>
      </c>
      <c r="D49" s="9" t="s">
        <v>1758</v>
      </c>
      <c r="E49" s="9" t="s">
        <v>1759</v>
      </c>
      <c r="F49" s="9" t="s">
        <v>736</v>
      </c>
      <c r="G49" s="9" t="s">
        <v>1737</v>
      </c>
      <c r="H49" s="9" t="s">
        <v>136</v>
      </c>
    </row>
    <row r="50" customFormat="false" ht="30" hidden="false" customHeight="true" outlineLevel="0" collapsed="false">
      <c r="A50" s="8" t="s">
        <v>1239</v>
      </c>
      <c r="B50" s="9" t="s">
        <v>1760</v>
      </c>
      <c r="C50" s="9" t="s">
        <v>1761</v>
      </c>
      <c r="D50" s="9" t="s">
        <v>1762</v>
      </c>
      <c r="E50" s="9" t="s">
        <v>1763</v>
      </c>
      <c r="F50" s="9" t="s">
        <v>736</v>
      </c>
      <c r="G50" s="9" t="s">
        <v>1737</v>
      </c>
      <c r="H50" s="9" t="s">
        <v>136</v>
      </c>
    </row>
    <row r="51" customFormat="false" ht="30" hidden="false" customHeight="true" outlineLevel="0" collapsed="false">
      <c r="A51" s="8" t="s">
        <v>1245</v>
      </c>
      <c r="B51" s="9" t="s">
        <v>1764</v>
      </c>
      <c r="C51" s="9" t="s">
        <v>1765</v>
      </c>
      <c r="D51" s="9" t="s">
        <v>1766</v>
      </c>
      <c r="E51" s="9" t="s">
        <v>1767</v>
      </c>
      <c r="F51" s="9" t="s">
        <v>845</v>
      </c>
      <c r="G51" s="9" t="s">
        <v>1737</v>
      </c>
      <c r="H51" s="9" t="s">
        <v>136</v>
      </c>
    </row>
    <row r="52" customFormat="false" ht="30" hidden="false" customHeight="true" outlineLevel="0" collapsed="false">
      <c r="A52" s="8" t="s">
        <v>1250</v>
      </c>
      <c r="B52" s="9" t="s">
        <v>1768</v>
      </c>
      <c r="C52" s="9" t="s">
        <v>1769</v>
      </c>
      <c r="D52" s="9" t="s">
        <v>1770</v>
      </c>
      <c r="E52" s="9" t="s">
        <v>1771</v>
      </c>
      <c r="F52" s="9" t="s">
        <v>736</v>
      </c>
      <c r="G52" s="9" t="s">
        <v>1737</v>
      </c>
      <c r="H52" s="9" t="s">
        <v>136</v>
      </c>
    </row>
    <row r="53" customFormat="false" ht="16.5" hidden="false" customHeight="true" outlineLevel="0" collapsed="false">
      <c r="A53" s="8" t="s">
        <v>1772</v>
      </c>
      <c r="B53" s="9" t="s">
        <v>1773</v>
      </c>
      <c r="C53" s="9" t="s">
        <v>1774</v>
      </c>
      <c r="D53" s="9" t="s">
        <v>1775</v>
      </c>
      <c r="E53" s="9" t="s">
        <v>1776</v>
      </c>
      <c r="F53" s="9" t="s">
        <v>736</v>
      </c>
      <c r="G53" s="9" t="s">
        <v>1737</v>
      </c>
      <c r="H53" s="9" t="s">
        <v>136</v>
      </c>
    </row>
    <row r="54" customFormat="false" ht="30" hidden="false" customHeight="true" outlineLevel="0" collapsed="false">
      <c r="A54" s="8" t="s">
        <v>1256</v>
      </c>
      <c r="B54" s="9" t="s">
        <v>1777</v>
      </c>
      <c r="C54" s="9" t="s">
        <v>1778</v>
      </c>
      <c r="D54" s="9" t="s">
        <v>1779</v>
      </c>
      <c r="E54" s="9" t="s">
        <v>1780</v>
      </c>
      <c r="F54" s="9" t="s">
        <v>736</v>
      </c>
      <c r="G54" s="9" t="s">
        <v>1737</v>
      </c>
      <c r="H54" s="9" t="s">
        <v>148</v>
      </c>
    </row>
    <row r="55" customFormat="false" ht="30" hidden="false" customHeight="true" outlineLevel="0" collapsed="false">
      <c r="A55" s="8" t="s">
        <v>1261</v>
      </c>
      <c r="B55" s="9" t="s">
        <v>1781</v>
      </c>
      <c r="C55" s="9" t="s">
        <v>1782</v>
      </c>
      <c r="D55" s="9" t="s">
        <v>1783</v>
      </c>
      <c r="E55" s="9" t="s">
        <v>1784</v>
      </c>
      <c r="F55" s="9" t="s">
        <v>736</v>
      </c>
      <c r="G55" s="9" t="s">
        <v>1737</v>
      </c>
      <c r="H55" s="9" t="s">
        <v>148</v>
      </c>
    </row>
    <row r="56" customFormat="false" ht="30" hidden="false" customHeight="true" outlineLevel="0" collapsed="false">
      <c r="A56" s="8" t="s">
        <v>1266</v>
      </c>
      <c r="B56" s="9" t="s">
        <v>1785</v>
      </c>
      <c r="C56" s="9" t="s">
        <v>1786</v>
      </c>
      <c r="D56" s="9" t="s">
        <v>1787</v>
      </c>
      <c r="E56" s="9" t="s">
        <v>1788</v>
      </c>
      <c r="F56" s="9" t="s">
        <v>736</v>
      </c>
      <c r="G56" s="9" t="s">
        <v>1737</v>
      </c>
      <c r="H56" s="9" t="s">
        <v>148</v>
      </c>
    </row>
    <row r="57" customFormat="false" ht="30" hidden="false" customHeight="true" outlineLevel="0" collapsed="false">
      <c r="A57" s="8" t="s">
        <v>1271</v>
      </c>
      <c r="B57" s="9" t="s">
        <v>1789</v>
      </c>
      <c r="C57" s="9" t="s">
        <v>1790</v>
      </c>
      <c r="D57" s="9" t="s">
        <v>1791</v>
      </c>
      <c r="E57" s="9" t="s">
        <v>1792</v>
      </c>
      <c r="F57" s="9" t="s">
        <v>736</v>
      </c>
      <c r="G57" s="9" t="s">
        <v>1737</v>
      </c>
      <c r="H57" s="9" t="s">
        <v>148</v>
      </c>
    </row>
    <row r="58" customFormat="false" ht="30" hidden="false" customHeight="true" outlineLevel="0" collapsed="false">
      <c r="A58" s="8" t="s">
        <v>1277</v>
      </c>
      <c r="B58" s="9" t="s">
        <v>1715</v>
      </c>
      <c r="C58" s="9" t="s">
        <v>1793</v>
      </c>
      <c r="D58" s="9" t="s">
        <v>1794</v>
      </c>
      <c r="E58" s="9" t="s">
        <v>1795</v>
      </c>
      <c r="F58" s="9" t="s">
        <v>736</v>
      </c>
      <c r="G58" s="9" t="s">
        <v>1737</v>
      </c>
      <c r="H58" s="9" t="s">
        <v>148</v>
      </c>
    </row>
    <row r="59" customFormat="false" ht="16.5" hidden="false" customHeight="true" outlineLevel="0" collapsed="false">
      <c r="A59" s="8" t="s">
        <v>1282</v>
      </c>
      <c r="B59" s="9" t="s">
        <v>1563</v>
      </c>
      <c r="C59" s="9" t="s">
        <v>1796</v>
      </c>
      <c r="D59" s="9" t="s">
        <v>1797</v>
      </c>
      <c r="E59" s="9" t="s">
        <v>1798</v>
      </c>
      <c r="F59" s="9" t="s">
        <v>736</v>
      </c>
      <c r="G59" s="9" t="s">
        <v>1737</v>
      </c>
      <c r="H59" s="9" t="s">
        <v>1799</v>
      </c>
    </row>
    <row r="60" customFormat="false" ht="30" hidden="false" customHeight="true" outlineLevel="0" collapsed="false">
      <c r="A60" s="8" t="s">
        <v>1288</v>
      </c>
      <c r="B60" s="9" t="s">
        <v>1495</v>
      </c>
      <c r="C60" s="9" t="s">
        <v>1800</v>
      </c>
      <c r="D60" s="9" t="s">
        <v>1801</v>
      </c>
      <c r="E60" s="9" t="s">
        <v>1802</v>
      </c>
      <c r="F60" s="9" t="s">
        <v>736</v>
      </c>
      <c r="G60" s="9" t="s">
        <v>1737</v>
      </c>
      <c r="H60" s="9" t="s">
        <v>1803</v>
      </c>
    </row>
    <row r="61" customFormat="false" ht="30" hidden="false" customHeight="true" outlineLevel="0" collapsed="false">
      <c r="A61" s="8" t="s">
        <v>1804</v>
      </c>
      <c r="B61" s="9" t="s">
        <v>1805</v>
      </c>
      <c r="C61" s="9" t="s">
        <v>1806</v>
      </c>
      <c r="D61" s="9" t="s">
        <v>1503</v>
      </c>
      <c r="E61" s="9" t="s">
        <v>1807</v>
      </c>
      <c r="F61" s="9" t="s">
        <v>736</v>
      </c>
      <c r="G61" s="9" t="s">
        <v>1737</v>
      </c>
      <c r="H61" s="9" t="s">
        <v>152</v>
      </c>
    </row>
    <row r="62" customFormat="false" ht="30" hidden="false" customHeight="true" outlineLevel="0" collapsed="false">
      <c r="A62" s="8" t="s">
        <v>1808</v>
      </c>
      <c r="B62" s="9" t="s">
        <v>1809</v>
      </c>
      <c r="C62" s="9" t="s">
        <v>1810</v>
      </c>
      <c r="D62" s="9" t="s">
        <v>1811</v>
      </c>
      <c r="E62" s="9" t="s">
        <v>1812</v>
      </c>
      <c r="F62" s="9" t="s">
        <v>736</v>
      </c>
      <c r="G62" s="9" t="s">
        <v>1737</v>
      </c>
      <c r="H62" s="9" t="s">
        <v>1813</v>
      </c>
    </row>
    <row r="63" customFormat="false" ht="30" hidden="false" customHeight="true" outlineLevel="0" collapsed="false">
      <c r="A63" s="8" t="s">
        <v>143</v>
      </c>
      <c r="B63" s="9" t="s">
        <v>1495</v>
      </c>
      <c r="C63" s="9" t="s">
        <v>1814</v>
      </c>
      <c r="D63" s="9" t="s">
        <v>1815</v>
      </c>
      <c r="E63" s="9" t="s">
        <v>1816</v>
      </c>
      <c r="F63" s="9" t="s">
        <v>736</v>
      </c>
      <c r="G63" s="9" t="s">
        <v>1737</v>
      </c>
      <c r="H63" s="9" t="s">
        <v>140</v>
      </c>
    </row>
    <row r="64" customFormat="false" ht="30" hidden="false" customHeight="true" outlineLevel="0" collapsed="false">
      <c r="A64" s="8" t="s">
        <v>1295</v>
      </c>
      <c r="B64" s="9" t="s">
        <v>1495</v>
      </c>
      <c r="C64" s="9" t="s">
        <v>1817</v>
      </c>
      <c r="D64" s="9" t="s">
        <v>1818</v>
      </c>
      <c r="E64" s="9" t="s">
        <v>1819</v>
      </c>
      <c r="F64" s="9" t="s">
        <v>736</v>
      </c>
      <c r="G64" s="9" t="s">
        <v>1737</v>
      </c>
      <c r="H64" s="9" t="s">
        <v>117</v>
      </c>
    </row>
    <row r="65" customFormat="false" ht="30" hidden="false" customHeight="true" outlineLevel="0" collapsed="false">
      <c r="A65" s="8" t="s">
        <v>1334</v>
      </c>
      <c r="B65" s="9" t="s">
        <v>1495</v>
      </c>
      <c r="C65" s="9" t="s">
        <v>1820</v>
      </c>
      <c r="D65" s="9" t="s">
        <v>1821</v>
      </c>
      <c r="E65" s="9" t="s">
        <v>1822</v>
      </c>
      <c r="F65" s="9" t="s">
        <v>736</v>
      </c>
      <c r="G65" s="9" t="s">
        <v>1737</v>
      </c>
      <c r="H65" s="9" t="s">
        <v>132</v>
      </c>
    </row>
    <row r="66" customFormat="false" ht="9.75" hidden="false" customHeight="true" outlineLevel="0" collapsed="false"/>
    <row r="67" customFormat="false" ht="42" hidden="false" customHeight="true" outlineLevel="0" collapsed="false">
      <c r="A67" s="5" t="s">
        <v>1823</v>
      </c>
      <c r="B67" s="5"/>
      <c r="C67" s="5"/>
      <c r="D67" s="5"/>
      <c r="E67" s="5"/>
      <c r="F67" s="5"/>
      <c r="G67" s="5"/>
      <c r="H67" s="5"/>
    </row>
    <row r="68" customFormat="false" ht="9.75" hidden="false" customHeight="true" outlineLevel="0" collapsed="false"/>
    <row r="69" customFormat="false" ht="30" hidden="false" customHeight="true" outlineLevel="0" collapsed="false">
      <c r="A69" s="5" t="s">
        <v>1824</v>
      </c>
      <c r="B69" s="5"/>
      <c r="C69" s="5"/>
      <c r="D69" s="5"/>
      <c r="E69" s="5"/>
      <c r="F69" s="5"/>
      <c r="G69" s="5"/>
      <c r="H69" s="5"/>
    </row>
    <row r="70" customFormat="false" ht="30" hidden="false" customHeight="true" outlineLevel="0" collapsed="false">
      <c r="A70" s="8" t="s">
        <v>433</v>
      </c>
      <c r="B70" s="9" t="s">
        <v>1495</v>
      </c>
      <c r="C70" s="9" t="s">
        <v>1825</v>
      </c>
      <c r="D70" s="9" t="s">
        <v>1826</v>
      </c>
      <c r="E70" s="9" t="s">
        <v>1827</v>
      </c>
      <c r="F70" s="9" t="s">
        <v>736</v>
      </c>
      <c r="G70" s="9" t="s">
        <v>1737</v>
      </c>
      <c r="H70" s="9" t="s">
        <v>1828</v>
      </c>
    </row>
    <row r="71" customFormat="false" ht="30" hidden="false" customHeight="true" outlineLevel="0" collapsed="false">
      <c r="A71" s="8" t="s">
        <v>1390</v>
      </c>
      <c r="B71" s="9" t="s">
        <v>1715</v>
      </c>
      <c r="C71" s="9" t="s">
        <v>1829</v>
      </c>
      <c r="D71" s="9" t="s">
        <v>1122</v>
      </c>
      <c r="E71" s="9" t="s">
        <v>1830</v>
      </c>
      <c r="F71" s="9" t="s">
        <v>736</v>
      </c>
      <c r="G71" s="9" t="s">
        <v>1737</v>
      </c>
      <c r="H71" s="9" t="s">
        <v>1831</v>
      </c>
    </row>
    <row r="72" customFormat="false" ht="30" hidden="false" customHeight="true" outlineLevel="0" collapsed="false">
      <c r="A72" s="8" t="s">
        <v>1402</v>
      </c>
      <c r="B72" s="9" t="s">
        <v>1832</v>
      </c>
      <c r="C72" s="9" t="s">
        <v>1833</v>
      </c>
      <c r="D72" s="9" t="s">
        <v>1834</v>
      </c>
      <c r="E72" s="9" t="s">
        <v>1835</v>
      </c>
      <c r="F72" s="9" t="s">
        <v>736</v>
      </c>
      <c r="G72" s="9" t="s">
        <v>1737</v>
      </c>
      <c r="H72" s="9" t="s">
        <v>1836</v>
      </c>
    </row>
    <row r="73" customFormat="false" ht="30" hidden="false" customHeight="true" outlineLevel="0" collapsed="false">
      <c r="A73" s="8" t="s">
        <v>1374</v>
      </c>
      <c r="B73" s="9" t="s">
        <v>1837</v>
      </c>
      <c r="C73" s="9" t="s">
        <v>1838</v>
      </c>
      <c r="D73" s="9" t="s">
        <v>1839</v>
      </c>
      <c r="E73" s="9" t="s">
        <v>1840</v>
      </c>
      <c r="F73" s="9" t="s">
        <v>736</v>
      </c>
      <c r="G73" s="9" t="s">
        <v>1737</v>
      </c>
      <c r="H73" s="9" t="s">
        <v>1841</v>
      </c>
    </row>
    <row r="74" customFormat="false" ht="30" hidden="false" customHeight="true" outlineLevel="0" collapsed="false">
      <c r="A74" s="8" t="s">
        <v>1842</v>
      </c>
      <c r="B74" s="9" t="s">
        <v>1843</v>
      </c>
      <c r="C74" s="9" t="s">
        <v>1844</v>
      </c>
      <c r="D74" s="9" t="s">
        <v>1845</v>
      </c>
      <c r="E74" s="9" t="s">
        <v>1846</v>
      </c>
      <c r="F74" s="9" t="s">
        <v>736</v>
      </c>
      <c r="G74" s="9" t="s">
        <v>1737</v>
      </c>
      <c r="H74" s="9" t="s">
        <v>1847</v>
      </c>
    </row>
    <row r="75" customFormat="false" ht="30" hidden="false" customHeight="true" outlineLevel="0" collapsed="false">
      <c r="A75" s="8" t="s">
        <v>1341</v>
      </c>
      <c r="B75" s="9" t="s">
        <v>1848</v>
      </c>
      <c r="C75" s="9" t="s">
        <v>1849</v>
      </c>
      <c r="D75" s="9" t="s">
        <v>1850</v>
      </c>
      <c r="E75" s="9" t="s">
        <v>1851</v>
      </c>
      <c r="F75" s="9" t="s">
        <v>736</v>
      </c>
      <c r="G75" s="9" t="s">
        <v>1737</v>
      </c>
      <c r="H75" s="9" t="s">
        <v>1343</v>
      </c>
    </row>
    <row r="76" customFormat="false" ht="30" hidden="false" customHeight="true" outlineLevel="0" collapsed="false">
      <c r="A76" s="8" t="s">
        <v>1346</v>
      </c>
      <c r="B76" s="9" t="s">
        <v>1848</v>
      </c>
      <c r="C76" s="9" t="s">
        <v>1852</v>
      </c>
      <c r="D76" s="9" t="s">
        <v>1853</v>
      </c>
      <c r="E76" s="9" t="s">
        <v>1854</v>
      </c>
      <c r="F76" s="9" t="s">
        <v>736</v>
      </c>
      <c r="G76" s="9" t="s">
        <v>1737</v>
      </c>
      <c r="H76" s="9" t="s">
        <v>1343</v>
      </c>
    </row>
    <row r="77" customFormat="false" ht="30" hidden="false" customHeight="true" outlineLevel="0" collapsed="false">
      <c r="A77" s="8" t="s">
        <v>1855</v>
      </c>
      <c r="B77" s="9" t="s">
        <v>1856</v>
      </c>
      <c r="C77" s="9" t="s">
        <v>1857</v>
      </c>
      <c r="D77" s="9" t="s">
        <v>844</v>
      </c>
      <c r="E77" s="9" t="s">
        <v>1858</v>
      </c>
      <c r="F77" s="9" t="s">
        <v>845</v>
      </c>
      <c r="G77" s="9" t="s">
        <v>1737</v>
      </c>
      <c r="H77" s="9" t="s">
        <v>1343</v>
      </c>
    </row>
    <row r="78" customFormat="false" ht="30" hidden="false" customHeight="true" outlineLevel="0" collapsed="false">
      <c r="A78" s="8" t="s">
        <v>1859</v>
      </c>
      <c r="B78" s="9" t="s">
        <v>1860</v>
      </c>
      <c r="C78" s="9" t="s">
        <v>1861</v>
      </c>
      <c r="D78" s="9" t="s">
        <v>1862</v>
      </c>
      <c r="E78" s="9" t="s">
        <v>1863</v>
      </c>
      <c r="F78" s="9" t="s">
        <v>1864</v>
      </c>
      <c r="G78" s="9" t="s">
        <v>1865</v>
      </c>
      <c r="H78" s="9" t="s">
        <v>1866</v>
      </c>
    </row>
    <row r="79" customFormat="false" ht="30" hidden="false" customHeight="true" outlineLevel="0" collapsed="false">
      <c r="A79" s="8" t="s">
        <v>1381</v>
      </c>
      <c r="B79" s="9" t="s">
        <v>1867</v>
      </c>
      <c r="C79" s="9" t="s">
        <v>1868</v>
      </c>
      <c r="D79" s="9" t="s">
        <v>1869</v>
      </c>
      <c r="E79" s="9" t="s">
        <v>1870</v>
      </c>
      <c r="F79" s="9" t="s">
        <v>736</v>
      </c>
      <c r="G79" s="9" t="s">
        <v>1737</v>
      </c>
      <c r="H79" s="9" t="s">
        <v>1841</v>
      </c>
    </row>
    <row r="80" customFormat="false" ht="30" hidden="false" customHeight="true" outlineLevel="0" collapsed="false">
      <c r="A80" s="8" t="s">
        <v>1871</v>
      </c>
      <c r="B80" s="9" t="s">
        <v>1715</v>
      </c>
      <c r="C80" s="9" t="s">
        <v>1872</v>
      </c>
      <c r="D80" s="9" t="s">
        <v>1873</v>
      </c>
      <c r="E80" s="9" t="s">
        <v>1874</v>
      </c>
      <c r="F80" s="9" t="s">
        <v>736</v>
      </c>
      <c r="G80" s="9" t="s">
        <v>1737</v>
      </c>
      <c r="H80" s="9" t="s">
        <v>1392</v>
      </c>
    </row>
    <row r="81" customFormat="false" ht="16.5" hidden="false" customHeight="true" outlineLevel="0" collapsed="false">
      <c r="A81" s="8" t="s">
        <v>1418</v>
      </c>
      <c r="B81" s="9" t="s">
        <v>1495</v>
      </c>
      <c r="C81" s="9" t="s">
        <v>1875</v>
      </c>
      <c r="D81" s="9" t="s">
        <v>1876</v>
      </c>
      <c r="E81" s="9" t="s">
        <v>1877</v>
      </c>
      <c r="F81" s="9" t="s">
        <v>736</v>
      </c>
      <c r="G81" s="9" t="s">
        <v>1737</v>
      </c>
      <c r="H81" s="9" t="s">
        <v>1878</v>
      </c>
    </row>
    <row r="82" customFormat="false" ht="30" hidden="false" customHeight="true" outlineLevel="0" collapsed="false">
      <c r="A82" s="8" t="s">
        <v>1879</v>
      </c>
      <c r="B82" s="9" t="s">
        <v>1880</v>
      </c>
      <c r="C82" s="9" t="s">
        <v>1881</v>
      </c>
      <c r="D82" s="9" t="s">
        <v>806</v>
      </c>
      <c r="E82" s="9" t="s">
        <v>1882</v>
      </c>
      <c r="F82" s="9" t="s">
        <v>736</v>
      </c>
      <c r="G82" s="9" t="s">
        <v>1737</v>
      </c>
      <c r="H82" s="9" t="s">
        <v>1883</v>
      </c>
    </row>
    <row r="83" customFormat="false" ht="30" hidden="false" customHeight="true" outlineLevel="0" collapsed="false">
      <c r="A83" s="8" t="s">
        <v>1884</v>
      </c>
      <c r="B83" s="9" t="s">
        <v>1885</v>
      </c>
      <c r="C83" s="9" t="s">
        <v>1886</v>
      </c>
      <c r="D83" s="9" t="s">
        <v>906</v>
      </c>
      <c r="E83" s="9" t="s">
        <v>1887</v>
      </c>
      <c r="F83" s="9" t="s">
        <v>736</v>
      </c>
      <c r="G83" s="9" t="s">
        <v>1737</v>
      </c>
      <c r="H83" s="9" t="s">
        <v>1883</v>
      </c>
    </row>
    <row r="84" customFormat="false" ht="30" hidden="false" customHeight="true" outlineLevel="0" collapsed="false">
      <c r="A84" s="8" t="s">
        <v>1888</v>
      </c>
      <c r="B84" s="9" t="s">
        <v>1889</v>
      </c>
      <c r="C84" s="9" t="s">
        <v>1890</v>
      </c>
      <c r="D84" s="9" t="s">
        <v>733</v>
      </c>
      <c r="E84" s="9" t="s">
        <v>1891</v>
      </c>
      <c r="F84" s="9" t="s">
        <v>736</v>
      </c>
      <c r="G84" s="9" t="s">
        <v>1737</v>
      </c>
      <c r="H84" s="9" t="s">
        <v>1883</v>
      </c>
    </row>
    <row r="85" customFormat="false" ht="15" hidden="false" customHeight="true" outlineLevel="0" collapsed="false">
      <c r="A85" s="53" t="s">
        <v>1892</v>
      </c>
      <c r="B85" s="11" t="s">
        <v>1893</v>
      </c>
      <c r="C85" s="11" t="s">
        <v>1894</v>
      </c>
      <c r="D85" s="11" t="s">
        <v>1895</v>
      </c>
      <c r="E85" s="11" t="s">
        <v>1896</v>
      </c>
      <c r="F85" s="11" t="s">
        <v>736</v>
      </c>
      <c r="G85" s="11" t="s">
        <v>1737</v>
      </c>
      <c r="H85" s="11" t="s">
        <v>1897</v>
      </c>
    </row>
  </sheetData>
  <mergeCells count="4">
    <mergeCell ref="A1:H1"/>
    <mergeCell ref="A2:H2"/>
    <mergeCell ref="A67:H67"/>
    <mergeCell ref="A69:H6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A5195"/>
    <pageSetUpPr fitToPage="true"/>
  </sheetPr>
  <dimension ref="A1:M9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2" min="2" style="1" width="12"/>
    <col collapsed="false" customWidth="true" hidden="false" outlineLevel="0" max="3" min="3" style="1" width="14"/>
    <col collapsed="false" customWidth="true" hidden="false" outlineLevel="0" max="4" min="4" style="1" width="62"/>
    <col collapsed="false" customWidth="true" hidden="false" outlineLevel="0" max="5" min="5" style="1" width="14"/>
    <col collapsed="false" customWidth="true" hidden="false" outlineLevel="0" max="6" min="6" style="1" width="10"/>
    <col collapsed="false" customWidth="true" hidden="false" outlineLevel="0" max="7" min="7" style="1" width="17"/>
    <col collapsed="false" customWidth="true" hidden="false" outlineLevel="0" max="8" min="8" style="1" width="62"/>
    <col collapsed="false" customWidth="true" hidden="false" outlineLevel="0" max="11" min="9" style="1" width="13"/>
    <col collapsed="false" customWidth="true" hidden="false" outlineLevel="0" max="12" min="12" style="1" width="14"/>
    <col collapsed="false" customWidth="true" hidden="false" outlineLevel="0" max="13" min="13" style="1" width="11"/>
  </cols>
  <sheetData>
    <row r="1" customFormat="false" ht="24" hidden="false" customHeight="true" outlineLevel="0" collapsed="false">
      <c r="A1" s="14" t="s">
        <v>1898</v>
      </c>
      <c r="B1" s="14"/>
      <c r="C1" s="14"/>
      <c r="D1" s="14"/>
      <c r="E1" s="14"/>
      <c r="F1" s="14"/>
      <c r="G1" s="14"/>
      <c r="H1" s="14"/>
      <c r="I1" s="14"/>
      <c r="J1" s="14"/>
      <c r="K1" s="14"/>
      <c r="L1" s="14"/>
    </row>
    <row r="2" customFormat="false" ht="30" hidden="false" customHeight="true" outlineLevel="0" collapsed="false">
      <c r="A2" s="3" t="s">
        <v>1899</v>
      </c>
      <c r="B2" s="3"/>
      <c r="C2" s="3"/>
      <c r="D2" s="3"/>
      <c r="E2" s="3"/>
      <c r="F2" s="3"/>
      <c r="G2" s="3"/>
      <c r="H2" s="3"/>
      <c r="I2" s="3"/>
      <c r="J2" s="3"/>
      <c r="K2" s="3"/>
      <c r="L2" s="3"/>
    </row>
    <row r="3" customFormat="false" ht="13.5" hidden="false" customHeight="true" outlineLevel="0" collapsed="false"/>
    <row r="4" customFormat="false" ht="54.75" hidden="false" customHeight="true" outlineLevel="0" collapsed="false">
      <c r="A4" s="108" t="s">
        <v>1900</v>
      </c>
      <c r="B4" s="109"/>
      <c r="C4" s="109"/>
      <c r="D4" s="109"/>
      <c r="E4" s="109"/>
      <c r="F4" s="109"/>
      <c r="G4" s="109"/>
      <c r="H4" s="109"/>
      <c r="I4" s="109"/>
      <c r="J4" s="109"/>
      <c r="K4" s="109"/>
      <c r="L4" s="110" t="s">
        <v>1901</v>
      </c>
    </row>
    <row r="5" customFormat="false" ht="30" hidden="false" customHeight="true" outlineLevel="0" collapsed="false">
      <c r="A5" s="16" t="s">
        <v>1902</v>
      </c>
      <c r="B5" s="16" t="s">
        <v>1153</v>
      </c>
      <c r="C5" s="16" t="s">
        <v>741</v>
      </c>
      <c r="D5" s="16" t="s">
        <v>806</v>
      </c>
      <c r="E5" s="16" t="s">
        <v>1903</v>
      </c>
      <c r="F5" s="16" t="s">
        <v>725</v>
      </c>
      <c r="G5" s="16" t="s">
        <v>1904</v>
      </c>
      <c r="H5" s="111"/>
      <c r="I5" s="111"/>
      <c r="J5" s="111"/>
      <c r="K5" s="111"/>
      <c r="L5" s="112" t="s">
        <v>1905</v>
      </c>
      <c r="M5" s="112" t="s">
        <v>1906</v>
      </c>
    </row>
    <row r="6" customFormat="false" ht="42" hidden="false" customHeight="true" outlineLevel="0" collapsed="false">
      <c r="A6" s="17" t="s">
        <v>1907</v>
      </c>
      <c r="B6" s="98" t="n">
        <v>6146</v>
      </c>
      <c r="C6" s="98" t="n">
        <v>6093</v>
      </c>
      <c r="D6" s="98" t="n">
        <v>6100</v>
      </c>
      <c r="E6" s="99" t="n">
        <f aca="false">D6/B6-1</f>
        <v>-0.0074845427920599</v>
      </c>
      <c r="F6" s="17" t="s">
        <v>1233</v>
      </c>
      <c r="G6" s="18" t="s">
        <v>1908</v>
      </c>
      <c r="H6" s="109"/>
      <c r="I6" s="109"/>
      <c r="J6" s="109"/>
      <c r="K6" s="109"/>
      <c r="L6" s="113" t="s">
        <v>1909</v>
      </c>
      <c r="M6" s="114" t="n">
        <v>11</v>
      </c>
    </row>
    <row r="7" customFormat="false" ht="42" hidden="false" customHeight="true" outlineLevel="0" collapsed="false">
      <c r="A7" s="17" t="s">
        <v>1910</v>
      </c>
      <c r="B7" s="98" t="n">
        <v>5198</v>
      </c>
      <c r="C7" s="98" t="n">
        <v>5112</v>
      </c>
      <c r="D7" s="98" t="n">
        <v>5121</v>
      </c>
      <c r="E7" s="99" t="n">
        <f aca="false">D7/B7-1</f>
        <v>-0.0148133897652943</v>
      </c>
      <c r="F7" s="17" t="s">
        <v>1233</v>
      </c>
      <c r="G7" s="18" t="s">
        <v>1908</v>
      </c>
      <c r="H7" s="109"/>
      <c r="I7" s="109"/>
      <c r="J7" s="109"/>
      <c r="K7" s="109"/>
      <c r="L7" s="113" t="s">
        <v>1911</v>
      </c>
      <c r="M7" s="114" t="n">
        <v>149</v>
      </c>
    </row>
    <row r="8" customFormat="false" ht="42" hidden="false" customHeight="true" outlineLevel="0" collapsed="false">
      <c r="A8" s="18" t="s">
        <v>1148</v>
      </c>
      <c r="B8" s="98" t="n">
        <v>3491</v>
      </c>
      <c r="C8" s="98" t="n">
        <v>3525</v>
      </c>
      <c r="D8" s="98" t="n">
        <v>3567</v>
      </c>
      <c r="E8" s="99" t="n">
        <f aca="false">D8/B8-1</f>
        <v>0.0217702663993125</v>
      </c>
      <c r="F8" s="17" t="s">
        <v>1233</v>
      </c>
      <c r="G8" s="18" t="s">
        <v>1908</v>
      </c>
      <c r="H8" s="109"/>
      <c r="I8" s="109"/>
      <c r="J8" s="109"/>
      <c r="K8" s="109"/>
      <c r="L8" s="113" t="s">
        <v>1912</v>
      </c>
      <c r="M8" s="114" t="n">
        <v>452</v>
      </c>
    </row>
    <row r="9" customFormat="false" ht="42" hidden="false" customHeight="true" outlineLevel="0" collapsed="false">
      <c r="A9" s="18" t="s">
        <v>1152</v>
      </c>
      <c r="B9" s="105" t="n">
        <f aca="false">B7-B8</f>
        <v>1707</v>
      </c>
      <c r="C9" s="105" t="n">
        <f aca="false">C7-C8</f>
        <v>1587</v>
      </c>
      <c r="D9" s="105" t="n">
        <f aca="false">D7-D8</f>
        <v>1554</v>
      </c>
      <c r="E9" s="99" t="n">
        <f aca="false">D9/B9-1</f>
        <v>-0.0896309314586995</v>
      </c>
      <c r="F9" s="17" t="s">
        <v>1233</v>
      </c>
      <c r="G9" s="18" t="s">
        <v>1908</v>
      </c>
      <c r="H9" s="109"/>
      <c r="I9" s="109"/>
      <c r="J9" s="109"/>
      <c r="K9" s="109"/>
      <c r="L9" s="113" t="s">
        <v>1913</v>
      </c>
      <c r="M9" s="114" t="n">
        <v>625</v>
      </c>
    </row>
    <row r="10" customFormat="false" ht="42" hidden="false" customHeight="true" outlineLevel="0" collapsed="false">
      <c r="A10" s="18" t="s">
        <v>1159</v>
      </c>
      <c r="B10" s="99" t="n">
        <f aca="false">B8/B7</f>
        <v>0.671604463255098</v>
      </c>
      <c r="C10" s="99" t="n">
        <f aca="false">C8/C7</f>
        <v>0.689553990610329</v>
      </c>
      <c r="D10" s="99" t="n">
        <f aca="false">D8/D7</f>
        <v>0.696543643819567</v>
      </c>
      <c r="E10" s="99" t="n">
        <f aca="false">D10/B10-1</f>
        <v>0.0371337326193373</v>
      </c>
      <c r="F10" s="17" t="s">
        <v>1233</v>
      </c>
      <c r="G10" s="18" t="s">
        <v>1908</v>
      </c>
      <c r="H10" s="109"/>
      <c r="I10" s="109"/>
      <c r="J10" s="109"/>
      <c r="K10" s="109"/>
      <c r="L10" s="113" t="s">
        <v>1914</v>
      </c>
      <c r="M10" s="114" t="n">
        <v>492</v>
      </c>
    </row>
    <row r="11" customFormat="false" ht="42" hidden="false" customHeight="true" outlineLevel="0" collapsed="false">
      <c r="A11" s="18" t="s">
        <v>1915</v>
      </c>
      <c r="B11" s="98" t="n">
        <v>792417</v>
      </c>
      <c r="C11" s="98" t="n">
        <v>781148</v>
      </c>
      <c r="D11" s="98" t="n">
        <v>775297</v>
      </c>
      <c r="E11" s="99" t="n">
        <f aca="false">D11/B11-1</f>
        <v>-0.0216047863687932</v>
      </c>
      <c r="F11" s="17" t="s">
        <v>1233</v>
      </c>
      <c r="G11" s="18" t="s">
        <v>1908</v>
      </c>
      <c r="H11" s="109"/>
      <c r="I11" s="109"/>
      <c r="J11" s="109"/>
      <c r="K11" s="109"/>
      <c r="L11" s="113" t="s">
        <v>1916</v>
      </c>
      <c r="M11" s="114" t="n">
        <v>304</v>
      </c>
    </row>
    <row r="12" customFormat="false" ht="42" hidden="false" customHeight="true" outlineLevel="0" collapsed="false">
      <c r="A12" s="18" t="s">
        <v>1917</v>
      </c>
      <c r="B12" s="98" t="n">
        <v>34251159</v>
      </c>
      <c r="C12" s="98" t="n">
        <v>32345846</v>
      </c>
      <c r="D12" s="98" t="n">
        <v>33553725</v>
      </c>
      <c r="E12" s="99" t="n">
        <f aca="false">D12/B12-1</f>
        <v>-0.0203623474464032</v>
      </c>
      <c r="F12" s="17" t="s">
        <v>735</v>
      </c>
      <c r="G12" s="18" t="s">
        <v>1908</v>
      </c>
      <c r="H12" s="109"/>
      <c r="I12" s="109"/>
      <c r="J12" s="109"/>
      <c r="K12" s="109"/>
      <c r="L12" s="113" t="s">
        <v>1918</v>
      </c>
      <c r="M12" s="114" t="n">
        <v>154</v>
      </c>
    </row>
    <row r="13" customFormat="false" ht="15" hidden="false" customHeight="true" outlineLevel="0" collapsed="false">
      <c r="A13" s="109"/>
      <c r="B13" s="109"/>
      <c r="C13" s="109"/>
      <c r="D13" s="109"/>
      <c r="E13" s="109"/>
      <c r="F13" s="109"/>
      <c r="G13" s="109"/>
      <c r="H13" s="109"/>
      <c r="I13" s="109"/>
      <c r="J13" s="109"/>
      <c r="K13" s="109"/>
      <c r="L13" s="113" t="s">
        <v>1919</v>
      </c>
      <c r="M13" s="114" t="n">
        <v>109</v>
      </c>
    </row>
    <row r="14" customFormat="false" ht="168" hidden="false" customHeight="true" outlineLevel="0" collapsed="false">
      <c r="A14" s="115" t="s">
        <v>1920</v>
      </c>
      <c r="B14" s="109"/>
      <c r="C14" s="109"/>
      <c r="D14" s="109"/>
      <c r="E14" s="109"/>
      <c r="F14" s="109"/>
      <c r="G14" s="109"/>
      <c r="H14" s="109"/>
      <c r="I14" s="109"/>
      <c r="J14" s="109"/>
      <c r="K14" s="109"/>
      <c r="L14" s="113" t="s">
        <v>1921</v>
      </c>
      <c r="M14" s="114" t="n">
        <v>25</v>
      </c>
    </row>
    <row r="15" customFormat="false" ht="130.5" hidden="false" customHeight="true" outlineLevel="0" collapsed="false">
      <c r="A15" s="115" t="s">
        <v>1922</v>
      </c>
      <c r="B15" s="109"/>
      <c r="C15" s="109"/>
      <c r="D15" s="109"/>
      <c r="E15" s="109"/>
      <c r="F15" s="109"/>
      <c r="G15" s="109"/>
      <c r="H15" s="109"/>
      <c r="I15" s="109"/>
      <c r="J15" s="109"/>
      <c r="K15" s="109"/>
      <c r="L15" s="113" t="s">
        <v>1923</v>
      </c>
      <c r="M15" s="114" t="n">
        <v>19</v>
      </c>
    </row>
    <row r="16" customFormat="false" ht="30" hidden="false" customHeight="true" outlineLevel="0" collapsed="false">
      <c r="A16" s="19" t="s">
        <v>1924</v>
      </c>
      <c r="B16" s="19"/>
      <c r="C16" s="19"/>
      <c r="D16" s="19"/>
      <c r="E16" s="19"/>
      <c r="F16" s="19"/>
      <c r="G16" s="19"/>
      <c r="H16" s="19"/>
      <c r="I16" s="19"/>
      <c r="J16" s="19"/>
      <c r="K16" s="19"/>
      <c r="L16" s="19"/>
    </row>
    <row r="17" customFormat="false" ht="9.75" hidden="false" customHeight="true" outlineLevel="0" collapsed="false"/>
    <row r="18" customFormat="false" ht="9.75" hidden="false" customHeight="true" outlineLevel="0" collapsed="false"/>
    <row r="19" customFormat="false" ht="19.5" hidden="false" customHeight="true" outlineLevel="0" collapsed="false">
      <c r="A19" s="15" t="s">
        <v>1925</v>
      </c>
      <c r="B19" s="15"/>
      <c r="C19" s="15"/>
      <c r="D19" s="15"/>
      <c r="E19" s="15"/>
      <c r="F19" s="15"/>
      <c r="G19" s="15"/>
      <c r="H19" s="15"/>
      <c r="I19" s="15"/>
      <c r="J19" s="15"/>
      <c r="K19" s="15"/>
      <c r="L19" s="15"/>
    </row>
    <row r="20" customFormat="false" ht="33.75" hidden="false" customHeight="true" outlineLevel="0" collapsed="false">
      <c r="A20" s="16" t="s">
        <v>1926</v>
      </c>
      <c r="B20" s="16" t="s">
        <v>1927</v>
      </c>
      <c r="C20" s="16" t="s">
        <v>1928</v>
      </c>
      <c r="D20" s="16" t="s">
        <v>1929</v>
      </c>
      <c r="E20" s="16" t="s">
        <v>1930</v>
      </c>
      <c r="F20" s="16" t="s">
        <v>725</v>
      </c>
    </row>
    <row r="21" customFormat="false" ht="130.5" hidden="false" customHeight="true" outlineLevel="0" collapsed="false">
      <c r="A21" s="47" t="s">
        <v>1931</v>
      </c>
      <c r="B21" s="18" t="s">
        <v>1932</v>
      </c>
      <c r="C21" s="116" t="n">
        <v>161</v>
      </c>
      <c r="D21" s="116" t="n">
        <v>101</v>
      </c>
      <c r="E21" s="109"/>
      <c r="F21" s="17" t="s">
        <v>735</v>
      </c>
    </row>
    <row r="22" customFormat="false" ht="105" hidden="false" customHeight="true" outlineLevel="0" collapsed="false">
      <c r="A22" s="47" t="s">
        <v>1933</v>
      </c>
      <c r="B22" s="18" t="s">
        <v>1934</v>
      </c>
      <c r="C22" s="116" t="n">
        <v>167</v>
      </c>
      <c r="D22" s="109"/>
      <c r="E22" s="117" t="n">
        <f aca="false">C22-C$21</f>
        <v>6</v>
      </c>
      <c r="F22" s="17" t="s">
        <v>735</v>
      </c>
    </row>
    <row r="23" customFormat="false" ht="93" hidden="false" customHeight="true" outlineLevel="0" collapsed="false">
      <c r="A23" s="47" t="s">
        <v>1935</v>
      </c>
      <c r="B23" s="18" t="s">
        <v>1936</v>
      </c>
      <c r="C23" s="116" t="n">
        <v>259</v>
      </c>
      <c r="D23" s="116" t="n">
        <v>130</v>
      </c>
      <c r="E23" s="117" t="n">
        <f aca="false">C23-C$21</f>
        <v>98</v>
      </c>
      <c r="F23" s="17" t="s">
        <v>735</v>
      </c>
    </row>
    <row r="24" customFormat="false" ht="79.5" hidden="false" customHeight="true" outlineLevel="0" collapsed="false">
      <c r="A24" s="47" t="s">
        <v>1937</v>
      </c>
      <c r="B24" s="18" t="s">
        <v>1938</v>
      </c>
      <c r="C24" s="116" t="n">
        <v>287</v>
      </c>
      <c r="D24" s="116" t="n">
        <v>187</v>
      </c>
      <c r="E24" s="117" t="n">
        <f aca="false">C24-C$21</f>
        <v>126</v>
      </c>
      <c r="F24" s="17" t="s">
        <v>735</v>
      </c>
    </row>
    <row r="25" customFormat="false" ht="67.5" hidden="false" customHeight="true" outlineLevel="0" collapsed="false">
      <c r="A25" s="47" t="s">
        <v>1939</v>
      </c>
      <c r="B25" s="18" t="s">
        <v>1940</v>
      </c>
      <c r="C25" s="101" t="n">
        <v>0.02</v>
      </c>
      <c r="D25" s="109"/>
      <c r="E25" s="109"/>
      <c r="F25" s="17" t="s">
        <v>735</v>
      </c>
    </row>
    <row r="26" customFormat="false" ht="9.75" hidden="false" customHeight="true" outlineLevel="0" collapsed="false"/>
    <row r="27" customFormat="false" ht="30" hidden="false" customHeight="true" outlineLevel="0" collapsed="false">
      <c r="A27" s="19" t="s">
        <v>1941</v>
      </c>
      <c r="B27" s="19"/>
      <c r="C27" s="19"/>
      <c r="D27" s="19"/>
      <c r="E27" s="19"/>
      <c r="F27" s="19"/>
      <c r="G27" s="19"/>
      <c r="H27" s="19"/>
      <c r="I27" s="19"/>
      <c r="J27" s="19"/>
      <c r="K27" s="19"/>
      <c r="L27" s="19"/>
    </row>
    <row r="28" customFormat="false" ht="16.5" hidden="false" customHeight="true" outlineLevel="0" collapsed="false">
      <c r="A28" s="19" t="s">
        <v>1942</v>
      </c>
      <c r="B28" s="19"/>
      <c r="C28" s="19"/>
      <c r="D28" s="19"/>
      <c r="E28" s="19"/>
      <c r="F28" s="19"/>
      <c r="G28" s="19"/>
      <c r="H28" s="19"/>
      <c r="I28" s="19"/>
      <c r="J28" s="19"/>
      <c r="K28" s="19"/>
      <c r="L28" s="19"/>
    </row>
    <row r="29" customFormat="false" ht="9.75" hidden="false" customHeight="true" outlineLevel="0" collapsed="false"/>
    <row r="30" customFormat="false" ht="9.75" hidden="false" customHeight="true" outlineLevel="0" collapsed="false"/>
    <row r="31" customFormat="false" ht="19.5" hidden="false" customHeight="true" outlineLevel="0" collapsed="false">
      <c r="A31" s="15" t="s">
        <v>1943</v>
      </c>
      <c r="B31" s="15"/>
      <c r="C31" s="15"/>
      <c r="D31" s="15"/>
      <c r="E31" s="15"/>
      <c r="F31" s="15"/>
      <c r="G31" s="15"/>
      <c r="H31" s="15"/>
      <c r="I31" s="15"/>
      <c r="J31" s="15"/>
      <c r="K31" s="15"/>
      <c r="L31" s="15"/>
    </row>
    <row r="32" customFormat="false" ht="24" hidden="false" customHeight="true" outlineLevel="0" collapsed="false">
      <c r="A32" s="16" t="s">
        <v>1944</v>
      </c>
      <c r="B32" s="16" t="s">
        <v>1945</v>
      </c>
      <c r="C32" s="16" t="s">
        <v>1946</v>
      </c>
      <c r="D32" s="16" t="s">
        <v>1947</v>
      </c>
    </row>
    <row r="33" customFormat="false" ht="16.5" hidden="false" customHeight="true" outlineLevel="0" collapsed="false">
      <c r="A33" s="17" t="s">
        <v>1948</v>
      </c>
      <c r="B33" s="116" t="n">
        <v>2340</v>
      </c>
      <c r="C33" s="109"/>
      <c r="D33" s="18" t="s">
        <v>1949</v>
      </c>
    </row>
    <row r="34" customFormat="false" ht="15" hidden="false" customHeight="true" outlineLevel="0" collapsed="false">
      <c r="A34" s="17" t="s">
        <v>1950</v>
      </c>
      <c r="B34" s="116" t="n">
        <v>194</v>
      </c>
      <c r="C34" s="118" t="n">
        <f aca="false">B34/60</f>
        <v>3.23333333333333</v>
      </c>
      <c r="D34" s="18" t="s">
        <v>1951</v>
      </c>
    </row>
    <row r="35" customFormat="false" ht="15" hidden="false" customHeight="true" outlineLevel="0" collapsed="false">
      <c r="A35" s="17" t="s">
        <v>1952</v>
      </c>
      <c r="B35" s="116" t="n">
        <v>236</v>
      </c>
      <c r="C35" s="118" t="n">
        <f aca="false">B35/60</f>
        <v>3.93333333333333</v>
      </c>
      <c r="D35" s="119"/>
    </row>
    <row r="36" customFormat="false" ht="30" hidden="false" customHeight="true" outlineLevel="0" collapsed="false">
      <c r="A36" s="17" t="s">
        <v>1953</v>
      </c>
      <c r="B36" s="116" t="n">
        <v>294</v>
      </c>
      <c r="C36" s="118" t="n">
        <f aca="false">B36/60</f>
        <v>4.9</v>
      </c>
      <c r="D36" s="18" t="s">
        <v>1954</v>
      </c>
    </row>
    <row r="37" customFormat="false" ht="15" hidden="false" customHeight="true" outlineLevel="0" collapsed="false">
      <c r="A37" s="17" t="s">
        <v>1955</v>
      </c>
      <c r="B37" s="116" t="n">
        <v>363</v>
      </c>
      <c r="C37" s="118" t="n">
        <f aca="false">B37/60</f>
        <v>6.05</v>
      </c>
      <c r="D37" s="119"/>
    </row>
    <row r="38" customFormat="false" ht="15" hidden="false" customHeight="true" outlineLevel="0" collapsed="false">
      <c r="A38" s="17" t="s">
        <v>1956</v>
      </c>
      <c r="B38" s="116" t="n">
        <v>443</v>
      </c>
      <c r="C38" s="118" t="n">
        <f aca="false">B38/60</f>
        <v>7.38333333333333</v>
      </c>
      <c r="D38" s="119"/>
    </row>
    <row r="39" customFormat="false" ht="16.5" hidden="false" customHeight="true" outlineLevel="0" collapsed="false">
      <c r="A39" s="17" t="s">
        <v>1957</v>
      </c>
      <c r="B39" s="116" t="n">
        <v>504</v>
      </c>
      <c r="C39" s="118" t="n">
        <f aca="false">B39/60</f>
        <v>8.4</v>
      </c>
      <c r="D39" s="18" t="s">
        <v>1958</v>
      </c>
    </row>
    <row r="40" customFormat="false" ht="15" hidden="false" customHeight="true" outlineLevel="0" collapsed="false">
      <c r="A40" s="17" t="s">
        <v>1959</v>
      </c>
      <c r="B40" s="116" t="n">
        <v>676</v>
      </c>
      <c r="C40" s="118" t="n">
        <f aca="false">B40/60</f>
        <v>11.2666666666667</v>
      </c>
      <c r="D40" s="119"/>
    </row>
    <row r="41" customFormat="false" ht="16.5" hidden="false" customHeight="true" outlineLevel="0" collapsed="false">
      <c r="A41" s="17" t="s">
        <v>1960</v>
      </c>
      <c r="B41" s="116" t="n">
        <v>1597</v>
      </c>
      <c r="C41" s="118" t="n">
        <f aca="false">B41/60</f>
        <v>26.6166666666667</v>
      </c>
      <c r="D41" s="18" t="s">
        <v>1961</v>
      </c>
    </row>
    <row r="42" customFormat="false" ht="16.5" hidden="false" customHeight="true" outlineLevel="0" collapsed="false">
      <c r="A42" s="18" t="s">
        <v>1962</v>
      </c>
      <c r="B42" s="116" t="n">
        <v>153</v>
      </c>
      <c r="C42" s="109"/>
      <c r="D42" s="18" t="s">
        <v>1963</v>
      </c>
    </row>
    <row r="43" customFormat="false" ht="16.5" hidden="false" customHeight="true" outlineLevel="0" collapsed="false">
      <c r="A43" s="18" t="s">
        <v>1964</v>
      </c>
      <c r="B43" s="116" t="n">
        <v>19</v>
      </c>
      <c r="C43" s="109"/>
      <c r="D43" s="18" t="s">
        <v>1965</v>
      </c>
    </row>
    <row r="44" customFormat="false" ht="16.5" hidden="false" customHeight="true" outlineLevel="0" collapsed="false">
      <c r="A44" s="18" t="s">
        <v>1966</v>
      </c>
      <c r="B44" s="116" t="n">
        <v>160</v>
      </c>
      <c r="C44" s="109"/>
      <c r="D44" s="18" t="s">
        <v>1967</v>
      </c>
    </row>
    <row r="45" customFormat="false" ht="9.75" hidden="false" customHeight="true" outlineLevel="0" collapsed="false"/>
    <row r="46" customFormat="false" ht="30" hidden="false" customHeight="true" outlineLevel="0" collapsed="false">
      <c r="A46" s="21" t="s">
        <v>1968</v>
      </c>
    </row>
    <row r="47" customFormat="false" ht="33.75" hidden="false" customHeight="true" outlineLevel="0" collapsed="false">
      <c r="A47" s="16" t="s">
        <v>1969</v>
      </c>
      <c r="B47" s="16" t="s">
        <v>1970</v>
      </c>
      <c r="C47" s="16" t="s">
        <v>1971</v>
      </c>
      <c r="D47" s="16" t="s">
        <v>1972</v>
      </c>
      <c r="E47" s="16" t="s">
        <v>1973</v>
      </c>
      <c r="F47" s="16" t="s">
        <v>1947</v>
      </c>
    </row>
    <row r="48" customFormat="false" ht="79.5" hidden="false" customHeight="true" outlineLevel="0" collapsed="false">
      <c r="A48" s="17" t="n">
        <v>1</v>
      </c>
      <c r="B48" s="47" t="s">
        <v>1974</v>
      </c>
      <c r="C48" s="116" t="n">
        <v>649</v>
      </c>
      <c r="D48" s="116" t="n">
        <v>310</v>
      </c>
      <c r="E48" s="117" t="n">
        <f aca="false">C48-D48</f>
        <v>339</v>
      </c>
      <c r="F48" s="18" t="s">
        <v>1975</v>
      </c>
    </row>
    <row r="49" customFormat="false" ht="15" hidden="false" customHeight="true" outlineLevel="0" collapsed="false">
      <c r="A49" s="17" t="n">
        <v>2</v>
      </c>
      <c r="B49" s="47" t="s">
        <v>1976</v>
      </c>
      <c r="C49" s="116" t="n">
        <v>603</v>
      </c>
      <c r="D49" s="116" t="n">
        <v>300</v>
      </c>
      <c r="E49" s="117" t="n">
        <f aca="false">C49-D49</f>
        <v>303</v>
      </c>
      <c r="F49" s="120"/>
    </row>
    <row r="50" customFormat="false" ht="15" hidden="false" customHeight="true" outlineLevel="0" collapsed="false">
      <c r="A50" s="17" t="n">
        <v>3</v>
      </c>
      <c r="B50" s="47" t="s">
        <v>1977</v>
      </c>
      <c r="C50" s="116" t="n">
        <v>514</v>
      </c>
      <c r="D50" s="116" t="n">
        <v>246</v>
      </c>
      <c r="E50" s="117" t="n">
        <f aca="false">C50-D50</f>
        <v>268</v>
      </c>
      <c r="F50" s="120"/>
    </row>
    <row r="51" customFormat="false" ht="15" hidden="false" customHeight="true" outlineLevel="0" collapsed="false">
      <c r="A51" s="17" t="n">
        <v>4</v>
      </c>
      <c r="B51" s="47" t="s">
        <v>1978</v>
      </c>
      <c r="C51" s="116" t="n">
        <v>436</v>
      </c>
      <c r="D51" s="116" t="n">
        <v>161</v>
      </c>
      <c r="E51" s="117" t="n">
        <f aca="false">C51-D51</f>
        <v>275</v>
      </c>
      <c r="F51" s="120"/>
    </row>
    <row r="52" customFormat="false" ht="15" hidden="false" customHeight="true" outlineLevel="0" collapsed="false">
      <c r="A52" s="17" t="n">
        <v>5</v>
      </c>
      <c r="B52" s="47" t="s">
        <v>1979</v>
      </c>
      <c r="C52" s="116" t="n">
        <v>417</v>
      </c>
      <c r="D52" s="116" t="n">
        <v>187</v>
      </c>
      <c r="E52" s="117" t="n">
        <f aca="false">C52-D52</f>
        <v>230</v>
      </c>
      <c r="F52" s="120"/>
    </row>
    <row r="53" customFormat="false" ht="15" hidden="false" customHeight="true" outlineLevel="0" collapsed="false">
      <c r="A53" s="17" t="n">
        <v>6</v>
      </c>
      <c r="B53" s="47" t="s">
        <v>1980</v>
      </c>
      <c r="C53" s="116" t="n">
        <v>412</v>
      </c>
      <c r="D53" s="116" t="n">
        <v>162</v>
      </c>
      <c r="E53" s="117" t="n">
        <f aca="false">C53-D53</f>
        <v>250</v>
      </c>
      <c r="F53" s="120"/>
    </row>
    <row r="54" customFormat="false" ht="93" hidden="false" customHeight="true" outlineLevel="0" collapsed="false">
      <c r="A54" s="17" t="n">
        <v>47</v>
      </c>
      <c r="B54" s="47" t="s">
        <v>1981</v>
      </c>
      <c r="C54" s="116" t="n">
        <v>231</v>
      </c>
      <c r="D54" s="116" t="n">
        <v>132</v>
      </c>
      <c r="E54" s="117" t="n">
        <f aca="false">C54-D54</f>
        <v>99</v>
      </c>
      <c r="F54" s="18" t="s">
        <v>1982</v>
      </c>
    </row>
    <row r="55" customFormat="false" ht="15" hidden="false" customHeight="true" outlineLevel="0" collapsed="false">
      <c r="A55" s="17" t="n">
        <v>48</v>
      </c>
      <c r="B55" s="47" t="s">
        <v>1983</v>
      </c>
      <c r="C55" s="116" t="n">
        <v>223</v>
      </c>
      <c r="D55" s="116" t="n">
        <v>131</v>
      </c>
      <c r="E55" s="117" t="n">
        <f aca="false">C55-D55</f>
        <v>92</v>
      </c>
      <c r="F55" s="120"/>
    </row>
    <row r="56" customFormat="false" ht="15" hidden="false" customHeight="true" outlineLevel="0" collapsed="false">
      <c r="A56" s="17" t="n">
        <v>49</v>
      </c>
      <c r="B56" s="47" t="s">
        <v>1984</v>
      </c>
      <c r="C56" s="116" t="n">
        <v>215</v>
      </c>
      <c r="D56" s="116" t="n">
        <v>123</v>
      </c>
      <c r="E56" s="117" t="n">
        <f aca="false">C56-D56</f>
        <v>92</v>
      </c>
      <c r="F56" s="120"/>
    </row>
    <row r="57" customFormat="false" ht="15" hidden="false" customHeight="true" outlineLevel="0" collapsed="false">
      <c r="A57" s="17" t="n">
        <v>50</v>
      </c>
      <c r="B57" s="47" t="s">
        <v>1985</v>
      </c>
      <c r="C57" s="116" t="n">
        <v>213</v>
      </c>
      <c r="D57" s="116" t="n">
        <v>115</v>
      </c>
      <c r="E57" s="117" t="n">
        <f aca="false">C57-D57</f>
        <v>98</v>
      </c>
      <c r="F57" s="120"/>
    </row>
    <row r="58" customFormat="false" ht="15" hidden="false" customHeight="true" outlineLevel="0" collapsed="false">
      <c r="A58" s="17" t="n">
        <v>51</v>
      </c>
      <c r="B58" s="47" t="s">
        <v>1986</v>
      </c>
      <c r="C58" s="116" t="n">
        <v>205</v>
      </c>
      <c r="D58" s="116" t="n">
        <v>112</v>
      </c>
      <c r="E58" s="117" t="n">
        <f aca="false">C58-D58</f>
        <v>93</v>
      </c>
      <c r="F58" s="120"/>
    </row>
    <row r="59" customFormat="false" ht="15" hidden="false" customHeight="true" outlineLevel="0" collapsed="false">
      <c r="A59" s="17" t="n">
        <v>52</v>
      </c>
      <c r="B59" s="47" t="s">
        <v>1987</v>
      </c>
      <c r="C59" s="116" t="n">
        <v>170</v>
      </c>
      <c r="D59" s="116" t="n">
        <v>110</v>
      </c>
      <c r="E59" s="117" t="n">
        <f aca="false">C59-D59</f>
        <v>60</v>
      </c>
      <c r="F59" s="120"/>
    </row>
    <row r="60" customFormat="false" ht="67.5" hidden="false" customHeight="true" outlineLevel="0" collapsed="false">
      <c r="A60" s="47" t="s">
        <v>1953</v>
      </c>
      <c r="B60" s="17" t="s">
        <v>1988</v>
      </c>
      <c r="C60" s="116" t="n">
        <v>306</v>
      </c>
      <c r="D60" s="109"/>
      <c r="E60" s="116" t="n">
        <v>152</v>
      </c>
      <c r="F60" s="18" t="s">
        <v>1989</v>
      </c>
    </row>
    <row r="61" customFormat="false" ht="9.75" hidden="false" customHeight="true" outlineLevel="0" collapsed="false"/>
    <row r="62" customFormat="false" ht="19.5" hidden="false" customHeight="true" outlineLevel="0" collapsed="false">
      <c r="A62" s="15" t="s">
        <v>1990</v>
      </c>
      <c r="B62" s="15"/>
      <c r="C62" s="15"/>
      <c r="D62" s="15"/>
      <c r="E62" s="15"/>
      <c r="F62" s="15"/>
      <c r="G62" s="15"/>
      <c r="H62" s="15"/>
      <c r="I62" s="15"/>
      <c r="J62" s="15"/>
      <c r="K62" s="15"/>
      <c r="L62" s="15"/>
    </row>
    <row r="63" customFormat="false" ht="30" hidden="false" customHeight="true" outlineLevel="0" collapsed="false">
      <c r="A63" s="16" t="s">
        <v>1991</v>
      </c>
      <c r="B63" s="16" t="s">
        <v>1992</v>
      </c>
      <c r="C63" s="16" t="s">
        <v>1993</v>
      </c>
      <c r="D63" s="16" t="s">
        <v>1994</v>
      </c>
      <c r="E63" s="16" t="s">
        <v>1995</v>
      </c>
      <c r="F63" s="16" t="s">
        <v>1996</v>
      </c>
      <c r="G63" s="16" t="s">
        <v>1997</v>
      </c>
      <c r="H63" s="16" t="s">
        <v>1998</v>
      </c>
    </row>
    <row r="64" customFormat="false" ht="42" hidden="false" customHeight="true" outlineLevel="0" collapsed="false">
      <c r="A64" s="18" t="s">
        <v>1999</v>
      </c>
      <c r="B64" s="121" t="n">
        <f aca="false">Medicare_PSPS!G46</f>
        <v>0.388086992531141</v>
      </c>
      <c r="C64" s="121" t="n">
        <f aca="false">Medicare_PSPS!G47</f>
        <v>0.235271917618867</v>
      </c>
      <c r="D64" s="121" t="n">
        <f aca="false">Medicare_PSPS!G49</f>
        <v>0.105144461791356</v>
      </c>
      <c r="E64" s="121" t="n">
        <f aca="false">Medicare_PSPS!G48</f>
        <v>0.198244227435982</v>
      </c>
      <c r="F64" s="121" t="n">
        <f aca="false">Medicare_PSPS!G51</f>
        <v>0.0068276220443176</v>
      </c>
      <c r="G64" s="121" t="n">
        <f aca="false">Medicare_PSPS!G50</f>
        <v>0.0664247785783358</v>
      </c>
      <c r="H64" s="18" t="s">
        <v>2000</v>
      </c>
    </row>
    <row r="65" customFormat="false" ht="30" hidden="false" customHeight="true" outlineLevel="0" collapsed="false">
      <c r="A65" s="18" t="s">
        <v>2001</v>
      </c>
      <c r="B65" s="121" t="n">
        <f aca="false">Medicare_PSPS!H46</f>
        <v>0.263718896578712</v>
      </c>
      <c r="C65" s="121" t="n">
        <f aca="false">Medicare_PSPS!H47</f>
        <v>0.197048548589127</v>
      </c>
      <c r="D65" s="121" t="n">
        <f aca="false">Medicare_PSPS!H49</f>
        <v>0.110672963723238</v>
      </c>
      <c r="E65" s="121" t="n">
        <f aca="false">Medicare_PSPS!H48</f>
        <v>0.259397184637864</v>
      </c>
      <c r="F65" s="121" t="n">
        <f aca="false">Medicare_PSPS!H51</f>
        <v>0.0132666831373408</v>
      </c>
      <c r="G65" s="121" t="n">
        <f aca="false">Medicare_PSPS!H50</f>
        <v>0.155895723333717</v>
      </c>
      <c r="H65" s="18" t="s">
        <v>2002</v>
      </c>
    </row>
    <row r="66" customFormat="false" ht="30" hidden="false" customHeight="true" outlineLevel="0" collapsed="false">
      <c r="A66" s="17" t="s">
        <v>2003</v>
      </c>
      <c r="B66" s="101" t="n">
        <v>0.3853</v>
      </c>
      <c r="C66" s="109"/>
      <c r="D66" s="109"/>
      <c r="E66" s="109"/>
      <c r="F66" s="109"/>
      <c r="G66" s="101" t="n">
        <v>0.0737</v>
      </c>
      <c r="H66" s="18" t="s">
        <v>2004</v>
      </c>
    </row>
    <row r="67" customFormat="false" ht="9.75" hidden="false" customHeight="true" outlineLevel="0" collapsed="false"/>
    <row r="68" customFormat="false" ht="30" hidden="false" customHeight="true" outlineLevel="0" collapsed="false">
      <c r="A68" s="19" t="s">
        <v>2005</v>
      </c>
      <c r="B68" s="19"/>
      <c r="C68" s="19"/>
      <c r="D68" s="19"/>
      <c r="E68" s="19"/>
      <c r="F68" s="19"/>
      <c r="G68" s="19"/>
      <c r="H68" s="19"/>
      <c r="I68" s="19"/>
      <c r="J68" s="19"/>
      <c r="K68" s="19"/>
      <c r="L68" s="19"/>
    </row>
    <row r="69" customFormat="false" ht="30" hidden="false" customHeight="true" outlineLevel="0" collapsed="false">
      <c r="A69" s="19" t="s">
        <v>2006</v>
      </c>
      <c r="B69" s="19"/>
      <c r="C69" s="19"/>
      <c r="D69" s="19"/>
      <c r="E69" s="19"/>
      <c r="F69" s="19"/>
      <c r="G69" s="19"/>
      <c r="H69" s="19"/>
      <c r="I69" s="19"/>
      <c r="J69" s="19"/>
      <c r="K69" s="19"/>
      <c r="L69" s="19"/>
    </row>
    <row r="70" customFormat="false" ht="9.75" hidden="false" customHeight="true" outlineLevel="0" collapsed="false"/>
    <row r="71" customFormat="false" ht="9.75" hidden="false" customHeight="true" outlineLevel="0" collapsed="false"/>
    <row r="72" customFormat="false" ht="19.5" hidden="false" customHeight="true" outlineLevel="0" collapsed="false">
      <c r="A72" s="15" t="s">
        <v>2007</v>
      </c>
      <c r="B72" s="15"/>
      <c r="C72" s="15"/>
      <c r="D72" s="15"/>
      <c r="E72" s="15"/>
      <c r="F72" s="15"/>
      <c r="G72" s="15"/>
      <c r="H72" s="15"/>
      <c r="I72" s="15"/>
      <c r="J72" s="15"/>
      <c r="K72" s="15"/>
      <c r="L72" s="15"/>
    </row>
    <row r="73" customFormat="false" ht="30" hidden="false" customHeight="true" outlineLevel="0" collapsed="false">
      <c r="A73" s="16" t="s">
        <v>2008</v>
      </c>
      <c r="B73" s="16" t="s">
        <v>2009</v>
      </c>
      <c r="C73" s="16" t="s">
        <v>2010</v>
      </c>
      <c r="D73" s="16" t="s">
        <v>2011</v>
      </c>
    </row>
    <row r="74" customFormat="false" ht="300" hidden="false" customHeight="true" outlineLevel="0" collapsed="false">
      <c r="A74" s="18" t="s">
        <v>2012</v>
      </c>
      <c r="B74" s="18" t="s">
        <v>2013</v>
      </c>
      <c r="C74" s="18" t="s">
        <v>2014</v>
      </c>
      <c r="D74" s="18" t="s">
        <v>2015</v>
      </c>
    </row>
    <row r="75" customFormat="false" ht="300" hidden="false" customHeight="true" outlineLevel="0" collapsed="false">
      <c r="A75" s="34" t="s">
        <v>2016</v>
      </c>
      <c r="B75" s="34" t="s">
        <v>2017</v>
      </c>
      <c r="C75" s="34" t="s">
        <v>2018</v>
      </c>
      <c r="D75" s="34" t="s">
        <v>2019</v>
      </c>
    </row>
    <row r="76" customFormat="false" ht="300" hidden="false" customHeight="true" outlineLevel="0" collapsed="false">
      <c r="A76" s="18" t="s">
        <v>2020</v>
      </c>
      <c r="B76" s="18" t="s">
        <v>2021</v>
      </c>
      <c r="C76" s="48" t="s">
        <v>2022</v>
      </c>
      <c r="D76" s="18" t="s">
        <v>2023</v>
      </c>
    </row>
    <row r="77" customFormat="false" ht="219" hidden="false" customHeight="true" outlineLevel="0" collapsed="false">
      <c r="A77" s="34" t="s">
        <v>2024</v>
      </c>
      <c r="B77" s="34" t="s">
        <v>2025</v>
      </c>
      <c r="C77" s="36" t="s">
        <v>2026</v>
      </c>
      <c r="D77" s="34" t="s">
        <v>2027</v>
      </c>
    </row>
    <row r="78" customFormat="false" ht="9.75" hidden="false" customHeight="true" outlineLevel="0" collapsed="false"/>
    <row r="79" customFormat="false" ht="16.5" hidden="false" customHeight="true" outlineLevel="0" collapsed="false">
      <c r="A79" s="19" t="s">
        <v>2028</v>
      </c>
      <c r="B79" s="19"/>
      <c r="C79" s="19"/>
      <c r="D79" s="19"/>
      <c r="E79" s="19"/>
      <c r="F79" s="19"/>
      <c r="G79" s="19"/>
      <c r="H79" s="19"/>
      <c r="I79" s="19"/>
      <c r="J79" s="19"/>
      <c r="K79" s="19"/>
      <c r="L79" s="19"/>
    </row>
    <row r="80" customFormat="false" ht="9.75" hidden="false" customHeight="true" outlineLevel="0" collapsed="false"/>
    <row r="81" customFormat="false" ht="9.75" hidden="false" customHeight="true" outlineLevel="0" collapsed="false"/>
    <row r="82" customFormat="false" ht="19.5" hidden="false" customHeight="true" outlineLevel="0" collapsed="false">
      <c r="A82" s="15" t="s">
        <v>2029</v>
      </c>
      <c r="B82" s="15"/>
      <c r="C82" s="15"/>
      <c r="D82" s="15"/>
      <c r="E82" s="15"/>
      <c r="F82" s="15"/>
      <c r="G82" s="15"/>
      <c r="H82" s="15"/>
      <c r="I82" s="15"/>
      <c r="J82" s="15"/>
      <c r="K82" s="15"/>
      <c r="L82" s="15"/>
    </row>
    <row r="83" customFormat="false" ht="24" hidden="false" customHeight="true" outlineLevel="0" collapsed="false">
      <c r="A83" s="16" t="s">
        <v>2030</v>
      </c>
      <c r="B83" s="16" t="s">
        <v>2031</v>
      </c>
      <c r="C83" s="16" t="s">
        <v>2032</v>
      </c>
      <c r="D83" s="16" t="s">
        <v>2033</v>
      </c>
    </row>
    <row r="84" customFormat="false" ht="30" hidden="false" customHeight="true" outlineLevel="0" collapsed="false">
      <c r="A84" s="18" t="s">
        <v>2034</v>
      </c>
      <c r="B84" s="17" t="s">
        <v>2035</v>
      </c>
      <c r="C84" s="17" t="s">
        <v>2036</v>
      </c>
      <c r="D84" s="18" t="s">
        <v>2037</v>
      </c>
    </row>
    <row r="85" customFormat="false" ht="30" hidden="false" customHeight="true" outlineLevel="0" collapsed="false">
      <c r="A85" s="34" t="s">
        <v>2038</v>
      </c>
      <c r="B85" s="122" t="s">
        <v>2039</v>
      </c>
      <c r="C85" s="122" t="s">
        <v>2036</v>
      </c>
      <c r="D85" s="34" t="s">
        <v>2040</v>
      </c>
    </row>
    <row r="86" customFormat="false" ht="30" hidden="false" customHeight="true" outlineLevel="0" collapsed="false">
      <c r="A86" s="18" t="s">
        <v>2041</v>
      </c>
      <c r="B86" s="17" t="s">
        <v>2042</v>
      </c>
      <c r="C86" s="17" t="s">
        <v>2036</v>
      </c>
      <c r="D86" s="18" t="s">
        <v>2043</v>
      </c>
    </row>
    <row r="87" customFormat="false" ht="30" hidden="false" customHeight="true" outlineLevel="0" collapsed="false">
      <c r="A87" s="34" t="s">
        <v>2044</v>
      </c>
      <c r="B87" s="122" t="s">
        <v>2045</v>
      </c>
      <c r="C87" s="122" t="s">
        <v>2036</v>
      </c>
      <c r="D87" s="34" t="s">
        <v>2046</v>
      </c>
    </row>
    <row r="88" customFormat="false" ht="30" hidden="false" customHeight="true" outlineLevel="0" collapsed="false">
      <c r="A88" s="18" t="s">
        <v>2047</v>
      </c>
      <c r="B88" s="17" t="s">
        <v>2048</v>
      </c>
      <c r="C88" s="123" t="s">
        <v>2049</v>
      </c>
      <c r="D88" s="18" t="s">
        <v>2050</v>
      </c>
    </row>
    <row r="89" customFormat="false" ht="30" hidden="false" customHeight="true" outlineLevel="0" collapsed="false">
      <c r="A89" s="34" t="s">
        <v>2051</v>
      </c>
      <c r="B89" s="122" t="s">
        <v>2045</v>
      </c>
      <c r="C89" s="122" t="s">
        <v>2052</v>
      </c>
      <c r="D89" s="34" t="s">
        <v>2053</v>
      </c>
    </row>
    <row r="90" customFormat="false" ht="42" hidden="false" customHeight="true" outlineLevel="0" collapsed="false">
      <c r="A90" s="18" t="s">
        <v>2054</v>
      </c>
      <c r="B90" s="18" t="s">
        <v>2055</v>
      </c>
      <c r="C90" s="17" t="s">
        <v>2036</v>
      </c>
      <c r="D90" s="18" t="s">
        <v>2056</v>
      </c>
    </row>
    <row r="91" customFormat="false" ht="42" hidden="false" customHeight="true" outlineLevel="0" collapsed="false">
      <c r="A91" s="122" t="s">
        <v>2057</v>
      </c>
      <c r="B91" s="34" t="s">
        <v>2058</v>
      </c>
      <c r="C91" s="122" t="s">
        <v>2036</v>
      </c>
      <c r="D91" s="34" t="s">
        <v>2059</v>
      </c>
    </row>
    <row r="92" customFormat="false" ht="42" hidden="false" customHeight="true" outlineLevel="0" collapsed="false">
      <c r="A92" s="18" t="s">
        <v>2060</v>
      </c>
      <c r="B92" s="17" t="s">
        <v>2045</v>
      </c>
      <c r="C92" s="17" t="s">
        <v>2061</v>
      </c>
      <c r="D92" s="18" t="s">
        <v>2062</v>
      </c>
    </row>
    <row r="93" customFormat="false" ht="30" hidden="false" customHeight="true" outlineLevel="0" collapsed="false">
      <c r="A93" s="122" t="s">
        <v>2063</v>
      </c>
      <c r="B93" s="122" t="s">
        <v>2064</v>
      </c>
      <c r="C93" s="122" t="s">
        <v>2065</v>
      </c>
      <c r="D93" s="34" t="s">
        <v>2066</v>
      </c>
    </row>
    <row r="94" customFormat="false" ht="9.75" hidden="false" customHeight="true" outlineLevel="0" collapsed="false"/>
    <row r="95" customFormat="false" ht="30" hidden="false" customHeight="true" outlineLevel="0" collapsed="false">
      <c r="A95" s="19" t="s">
        <v>2067</v>
      </c>
      <c r="B95" s="19"/>
      <c r="C95" s="19"/>
      <c r="D95" s="19"/>
      <c r="E95" s="19"/>
      <c r="F95" s="19"/>
      <c r="G95" s="19"/>
      <c r="H95" s="19"/>
      <c r="I95" s="19"/>
      <c r="J95" s="19"/>
      <c r="K95" s="19"/>
      <c r="L95" s="19"/>
    </row>
  </sheetData>
  <mergeCells count="14">
    <mergeCell ref="A1:L1"/>
    <mergeCell ref="A2:L2"/>
    <mergeCell ref="A16:L16"/>
    <mergeCell ref="A19:L19"/>
    <mergeCell ref="A27:L27"/>
    <mergeCell ref="A28:L28"/>
    <mergeCell ref="A31:L31"/>
    <mergeCell ref="A62:L62"/>
    <mergeCell ref="A68:L68"/>
    <mergeCell ref="A69:L69"/>
    <mergeCell ref="A72:L72"/>
    <mergeCell ref="A79:L79"/>
    <mergeCell ref="A82:L82"/>
    <mergeCell ref="A95:L95"/>
  </mergeCells>
  <printOptions headings="false" gridLines="false" gridLinesSet="true" horizontalCentered="false" verticalCentered="false"/>
  <pageMargins left="0.75" right="0.75" top="1" bottom="1" header="0.511811023622047" footer="0.511805555555556"/>
  <pageSetup paperSize="9" scale="100" fitToWidth="1" fitToHeight="0" pageOrder="downThenOver" orientation="landscape" blackAndWhite="false" draft="false" cellComments="none" horizontalDpi="300" verticalDpi="300" copies="1"/>
  <headerFooter differentFirst="false" differentOddEven="false">
    <oddHeader/>
    <oddFooter>&amp;L&amp;8 IFT Sourced Evidence Master  |  verified 09 July 2026&amp;R&amp;8 &amp;A  |  page &amp;P of &amp;N</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15"/>
    <col collapsed="false" customWidth="true" hidden="false" outlineLevel="0" max="4" min="3" style="1" width="13"/>
    <col collapsed="false" customWidth="true" hidden="false" outlineLevel="0" max="5" min="5" style="1" width="34"/>
    <col collapsed="false" customWidth="true" hidden="false" outlineLevel="0" max="7" min="6" style="1" width="11"/>
    <col collapsed="false" customWidth="true" hidden="false" outlineLevel="0" max="9" min="8" style="1" width="12"/>
  </cols>
  <sheetData>
    <row r="1" customFormat="false" ht="24" hidden="false" customHeight="true" outlineLevel="0" collapsed="false">
      <c r="A1" s="14" t="s">
        <v>2068</v>
      </c>
      <c r="B1" s="14"/>
      <c r="C1" s="14"/>
      <c r="D1" s="14"/>
      <c r="E1" s="14"/>
      <c r="F1" s="14"/>
      <c r="G1" s="14"/>
      <c r="H1" s="14"/>
      <c r="I1" s="14"/>
    </row>
    <row r="2" customFormat="false" ht="42" hidden="false" customHeight="true" outlineLevel="0" collapsed="false">
      <c r="A2" s="3" t="s">
        <v>2069</v>
      </c>
      <c r="B2" s="3"/>
      <c r="C2" s="3"/>
      <c r="D2" s="3"/>
      <c r="E2" s="3"/>
      <c r="F2" s="3"/>
      <c r="G2" s="3"/>
      <c r="H2" s="3"/>
      <c r="I2" s="3"/>
    </row>
    <row r="3" customFormat="false" ht="13.5" hidden="false" customHeight="true" outlineLevel="0" collapsed="false"/>
    <row r="4" customFormat="false" ht="16.5" hidden="false" customHeight="true" outlineLevel="0" collapsed="false">
      <c r="A4" s="15" t="s">
        <v>2070</v>
      </c>
      <c r="B4" s="15"/>
      <c r="C4" s="15"/>
      <c r="D4" s="15"/>
      <c r="E4" s="15"/>
      <c r="F4" s="15"/>
      <c r="G4" s="15"/>
      <c r="H4" s="15"/>
      <c r="I4" s="15"/>
    </row>
    <row r="5" customFormat="false" ht="24" hidden="false" customHeight="true" outlineLevel="0" collapsed="false">
      <c r="A5" s="7" t="s">
        <v>1902</v>
      </c>
      <c r="B5" s="7" t="s">
        <v>733</v>
      </c>
      <c r="C5" s="7" t="s">
        <v>1122</v>
      </c>
      <c r="D5" s="7" t="s">
        <v>2071</v>
      </c>
      <c r="E5" s="7" t="s">
        <v>2072</v>
      </c>
      <c r="F5" s="7" t="s">
        <v>2073</v>
      </c>
      <c r="G5" s="7" t="s">
        <v>2074</v>
      </c>
      <c r="H5" s="7" t="s">
        <v>2075</v>
      </c>
      <c r="I5" s="7" t="s">
        <v>2076</v>
      </c>
    </row>
    <row r="6" customFormat="false" ht="16.5" hidden="false" customHeight="true" outlineLevel="0" collapsed="false">
      <c r="A6" s="20" t="s">
        <v>2077</v>
      </c>
      <c r="B6" s="98" t="n">
        <v>57795</v>
      </c>
      <c r="C6" s="98" t="n">
        <v>63327</v>
      </c>
      <c r="D6" s="98" t="n">
        <v>71183</v>
      </c>
      <c r="E6" s="98" t="n">
        <v>75828</v>
      </c>
      <c r="F6" s="98" t="n">
        <v>78294</v>
      </c>
      <c r="G6" s="98" t="n">
        <v>82130</v>
      </c>
      <c r="H6" s="99" t="n">
        <f aca="false">(D6/C6)^(1/5)-1</f>
        <v>0.0236641041086043</v>
      </c>
      <c r="I6" s="99" t="n">
        <f aca="false">(F6/D6)^(1/10)-1</f>
        <v>0.00956717013844455</v>
      </c>
    </row>
    <row r="7" customFormat="false" ht="16.5" hidden="false" customHeight="true" outlineLevel="0" collapsed="false">
      <c r="A7" s="8" t="s">
        <v>2078</v>
      </c>
      <c r="B7" s="98" t="n">
        <v>333288</v>
      </c>
      <c r="C7" s="98" t="n">
        <v>338016</v>
      </c>
      <c r="D7" s="98" t="n">
        <v>345074</v>
      </c>
      <c r="E7" s="98" t="n">
        <v>350861</v>
      </c>
      <c r="F7" s="98" t="n">
        <v>355309</v>
      </c>
      <c r="G7" s="98" t="n">
        <v>360639</v>
      </c>
    </row>
    <row r="8" customFormat="false" ht="16.5" hidden="false" customHeight="true" outlineLevel="0" collapsed="false">
      <c r="A8" s="8" t="s">
        <v>2079</v>
      </c>
      <c r="B8" s="99" t="n">
        <f aca="false">B6/B7</f>
        <v>0.173408583567365</v>
      </c>
      <c r="C8" s="99" t="n">
        <f aca="false">C6/C7</f>
        <v>0.187349119568304</v>
      </c>
      <c r="D8" s="99" t="n">
        <f aca="false">D6/D7</f>
        <v>0.206283289960994</v>
      </c>
      <c r="E8" s="99" t="n">
        <f aca="false">E6/E7</f>
        <v>0.216119773927567</v>
      </c>
      <c r="F8" s="99" t="n">
        <f aca="false">F6/F7</f>
        <v>0.220354677196468</v>
      </c>
      <c r="G8" s="99" t="n">
        <f aca="false">G6/G7</f>
        <v>0.227734659867624</v>
      </c>
    </row>
    <row r="9" customFormat="false" ht="9.75" hidden="false" customHeight="true" outlineLevel="0" collapsed="false"/>
    <row r="10" customFormat="false" ht="54.75" hidden="false" customHeight="true" outlineLevel="0" collapsed="false">
      <c r="A10" s="5" t="s">
        <v>2080</v>
      </c>
      <c r="B10" s="5"/>
      <c r="C10" s="5"/>
      <c r="D10" s="5"/>
      <c r="E10" s="5"/>
      <c r="F10" s="5"/>
      <c r="G10" s="5"/>
      <c r="H10" s="5"/>
      <c r="I10" s="5"/>
    </row>
    <row r="11" customFormat="false" ht="9.75" hidden="false" customHeight="true" outlineLevel="0" collapsed="false"/>
    <row r="12" customFormat="false" ht="16.5" hidden="false" customHeight="true" outlineLevel="0" collapsed="false">
      <c r="A12" s="15" t="s">
        <v>2081</v>
      </c>
      <c r="B12" s="15"/>
      <c r="C12" s="15"/>
      <c r="D12" s="15"/>
      <c r="E12" s="15"/>
      <c r="F12" s="15"/>
      <c r="G12" s="15"/>
      <c r="H12" s="15"/>
      <c r="I12" s="15"/>
    </row>
    <row r="13" customFormat="false" ht="33.75" hidden="false" customHeight="true" outlineLevel="0" collapsed="false">
      <c r="A13" s="7" t="s">
        <v>723</v>
      </c>
      <c r="B13" s="7" t="s">
        <v>2082</v>
      </c>
      <c r="C13" s="7" t="s">
        <v>2083</v>
      </c>
      <c r="D13" s="7" t="s">
        <v>2084</v>
      </c>
      <c r="E13" s="7" t="s">
        <v>2085</v>
      </c>
    </row>
    <row r="14" customFormat="false" ht="16.5" hidden="false" customHeight="true" outlineLevel="0" collapsed="false">
      <c r="A14" s="124" t="s">
        <v>2086</v>
      </c>
      <c r="B14" s="101" t="n">
        <v>0.19</v>
      </c>
      <c r="C14" s="109"/>
      <c r="D14" s="109"/>
      <c r="E14" s="9" t="s">
        <v>2087</v>
      </c>
    </row>
    <row r="15" customFormat="false" ht="15" hidden="false" customHeight="true" outlineLevel="0" collapsed="false">
      <c r="A15" s="124" t="s">
        <v>1122</v>
      </c>
      <c r="B15" s="101" t="n">
        <v>0.54</v>
      </c>
      <c r="C15" s="125" t="n">
        <v>34.1</v>
      </c>
      <c r="D15" s="125" t="n">
        <v>62.8</v>
      </c>
      <c r="E15" s="11"/>
    </row>
    <row r="16" customFormat="false" ht="15" hidden="false" customHeight="true" outlineLevel="0" collapsed="false">
      <c r="A16" s="124" t="s">
        <v>906</v>
      </c>
      <c r="B16" s="101" t="n">
        <v>0.55</v>
      </c>
      <c r="C16" s="125" t="n">
        <v>35.2</v>
      </c>
      <c r="D16" s="125" t="n">
        <v>64.2</v>
      </c>
      <c r="E16" s="9" t="s">
        <v>1503</v>
      </c>
    </row>
    <row r="17" customFormat="false" ht="16.5" hidden="false" customHeight="true" outlineLevel="0" collapsed="false">
      <c r="A17" s="124" t="s">
        <v>2088</v>
      </c>
      <c r="B17" s="101" t="n">
        <v>0.63</v>
      </c>
      <c r="C17" s="109"/>
      <c r="D17" s="109"/>
      <c r="E17" s="9" t="s">
        <v>2089</v>
      </c>
    </row>
    <row r="18" customFormat="false" ht="42" hidden="false" customHeight="true" outlineLevel="0" collapsed="false">
      <c r="A18" s="5" t="s">
        <v>2090</v>
      </c>
      <c r="B18" s="5"/>
      <c r="C18" s="5"/>
      <c r="D18" s="5"/>
      <c r="E18" s="5"/>
      <c r="F18" s="5"/>
      <c r="G18" s="5"/>
      <c r="H18" s="5"/>
      <c r="I18" s="5"/>
    </row>
    <row r="19" customFormat="false" ht="9.75" hidden="false" customHeight="true" outlineLevel="0" collapsed="false"/>
    <row r="20" customFormat="false" ht="30" hidden="false" customHeight="true" outlineLevel="0" collapsed="false">
      <c r="A20" s="15" t="s">
        <v>2091</v>
      </c>
      <c r="B20" s="15"/>
      <c r="C20" s="15"/>
      <c r="D20" s="15"/>
      <c r="E20" s="15"/>
      <c r="F20" s="15"/>
      <c r="G20" s="15"/>
      <c r="H20" s="15"/>
      <c r="I20" s="15"/>
    </row>
    <row r="21" customFormat="false" ht="24" hidden="false" customHeight="true" outlineLevel="0" collapsed="false">
      <c r="A21" s="7" t="s">
        <v>1902</v>
      </c>
      <c r="B21" s="7" t="s">
        <v>581</v>
      </c>
      <c r="C21" s="7" t="s">
        <v>2092</v>
      </c>
    </row>
    <row r="22" customFormat="false" ht="105" hidden="false" customHeight="true" outlineLevel="0" collapsed="false">
      <c r="A22" s="9" t="s">
        <v>2093</v>
      </c>
      <c r="B22" s="98" t="n">
        <v>197</v>
      </c>
      <c r="C22" s="9" t="s">
        <v>2094</v>
      </c>
    </row>
    <row r="23" customFormat="false" ht="117.75" hidden="false" customHeight="true" outlineLevel="0" collapsed="false">
      <c r="A23" s="9" t="s">
        <v>2095</v>
      </c>
      <c r="B23" s="98" t="n">
        <v>154</v>
      </c>
      <c r="C23" s="9" t="s">
        <v>2096</v>
      </c>
    </row>
    <row r="24" customFormat="false" ht="219" hidden="false" customHeight="true" outlineLevel="0" collapsed="false">
      <c r="A24" s="9" t="s">
        <v>2097</v>
      </c>
      <c r="B24" s="109"/>
      <c r="C24" s="9" t="s">
        <v>2098</v>
      </c>
    </row>
    <row r="25" customFormat="false" ht="42" hidden="false" customHeight="true" outlineLevel="0" collapsed="false">
      <c r="A25" s="5" t="s">
        <v>2099</v>
      </c>
      <c r="B25" s="5"/>
      <c r="C25" s="5"/>
      <c r="D25" s="5"/>
      <c r="E25" s="5"/>
      <c r="F25" s="5"/>
      <c r="G25" s="5"/>
      <c r="H25" s="5"/>
      <c r="I25" s="5"/>
    </row>
    <row r="26" customFormat="false" ht="9.75" hidden="false" customHeight="true" outlineLevel="0" collapsed="false"/>
    <row r="27" customFormat="false" ht="19.5" hidden="false" customHeight="true" outlineLevel="0" collapsed="false">
      <c r="A27" s="15" t="s">
        <v>2100</v>
      </c>
      <c r="B27" s="15"/>
      <c r="C27" s="15"/>
      <c r="D27" s="15"/>
      <c r="E27" s="15"/>
      <c r="F27" s="15"/>
      <c r="G27" s="15"/>
      <c r="H27" s="15"/>
      <c r="I27" s="15"/>
    </row>
    <row r="28" customFormat="false" ht="67.5" hidden="false" customHeight="true" outlineLevel="0" collapsed="false">
      <c r="A28" s="5" t="s">
        <v>2101</v>
      </c>
      <c r="B28" s="5"/>
      <c r="C28" s="5"/>
      <c r="D28" s="5"/>
      <c r="E28" s="5"/>
      <c r="F28" s="5"/>
      <c r="G28" s="5"/>
      <c r="H28" s="5"/>
      <c r="I28" s="5"/>
    </row>
    <row r="29" customFormat="false" ht="9.75" hidden="false" customHeight="true" outlineLevel="0" collapsed="false"/>
    <row r="30" customFormat="false" ht="19.5" hidden="false" customHeight="true" outlineLevel="0" collapsed="false">
      <c r="A30" s="15" t="s">
        <v>2102</v>
      </c>
      <c r="B30" s="15"/>
      <c r="C30" s="15"/>
      <c r="D30" s="15"/>
      <c r="E30" s="15"/>
      <c r="F30" s="15"/>
      <c r="G30" s="15"/>
      <c r="H30" s="15"/>
      <c r="I30" s="15"/>
    </row>
    <row r="31" customFormat="false" ht="24" hidden="false" customHeight="true" outlineLevel="0" collapsed="false">
      <c r="A31" s="7" t="s">
        <v>1902</v>
      </c>
      <c r="B31" s="7" t="s">
        <v>581</v>
      </c>
      <c r="C31" s="7" t="s">
        <v>2103</v>
      </c>
      <c r="D31" s="7" t="s">
        <v>1904</v>
      </c>
    </row>
    <row r="32" customFormat="false" ht="79.5" hidden="false" customHeight="true" outlineLevel="0" collapsed="false">
      <c r="A32" s="9" t="s">
        <v>2104</v>
      </c>
      <c r="B32" s="98" t="n">
        <v>155398</v>
      </c>
      <c r="C32" s="109"/>
      <c r="D32" s="9" t="s">
        <v>2105</v>
      </c>
    </row>
    <row r="33" customFormat="false" ht="79.5" hidden="false" customHeight="true" outlineLevel="0" collapsed="false">
      <c r="A33" s="9" t="s">
        <v>2106</v>
      </c>
      <c r="B33" s="101" t="n">
        <v>0.17</v>
      </c>
      <c r="C33" s="126" t="n">
        <v>0.009</v>
      </c>
      <c r="D33" s="9" t="s">
        <v>2105</v>
      </c>
    </row>
    <row r="34" customFormat="false" ht="79.5" hidden="false" customHeight="true" outlineLevel="0" collapsed="false">
      <c r="A34" s="9" t="s">
        <v>2107</v>
      </c>
      <c r="B34" s="101" t="n">
        <v>0.334</v>
      </c>
      <c r="C34" s="126" t="n">
        <v>0.016</v>
      </c>
      <c r="D34" s="9" t="s">
        <v>2105</v>
      </c>
    </row>
    <row r="35" customFormat="false" ht="79.5" hidden="false" customHeight="true" outlineLevel="0" collapsed="false">
      <c r="A35" s="9" t="s">
        <v>2108</v>
      </c>
      <c r="B35" s="101" t="n">
        <v>0.396</v>
      </c>
      <c r="C35" s="126" t="n">
        <v>0.02</v>
      </c>
      <c r="D35" s="9" t="s">
        <v>2105</v>
      </c>
    </row>
    <row r="36" customFormat="false" ht="79.5" hidden="false" customHeight="true" outlineLevel="0" collapsed="false">
      <c r="A36" s="9" t="s">
        <v>2109</v>
      </c>
      <c r="B36" s="101" t="n">
        <v>0.05</v>
      </c>
      <c r="C36" s="126" t="n">
        <v>0.008</v>
      </c>
      <c r="D36" s="9" t="s">
        <v>2105</v>
      </c>
    </row>
    <row r="37" customFormat="false" ht="42" hidden="false" customHeight="true" outlineLevel="0" collapsed="false">
      <c r="A37" s="5" t="s">
        <v>2110</v>
      </c>
      <c r="B37" s="5"/>
      <c r="C37" s="5"/>
      <c r="D37" s="5"/>
      <c r="E37" s="5"/>
      <c r="F37" s="5"/>
      <c r="G37" s="5"/>
      <c r="H37" s="5"/>
      <c r="I37" s="5"/>
    </row>
    <row r="39" customFormat="false" ht="18" hidden="false" customHeight="true" outlineLevel="0" collapsed="false">
      <c r="A39" s="127" t="s">
        <v>2111</v>
      </c>
      <c r="B39" s="127"/>
      <c r="C39" s="127"/>
      <c r="D39" s="127"/>
      <c r="E39" s="127"/>
      <c r="F39" s="127"/>
      <c r="G39" s="127"/>
    </row>
    <row r="40" customFormat="false" ht="21.75" hidden="false" customHeight="true" outlineLevel="0" collapsed="false">
      <c r="A40" s="11" t="s">
        <v>2112</v>
      </c>
      <c r="C40" s="128" t="n">
        <f aca="false">(C6/B6)^(1/5)-1</f>
        <v>0.0184500393846336</v>
      </c>
      <c r="D40" s="128" t="n">
        <f aca="false">(D6/C6)^(1/5)-1</f>
        <v>0.0236641041086043</v>
      </c>
      <c r="E40" s="128" t="n">
        <f aca="false">(E6/D6)^(1/5)-1</f>
        <v>0.0127229753722522</v>
      </c>
      <c r="F40" s="128" t="n">
        <f aca="false">(F6/E6)^(1/5)-1</f>
        <v>0.00642119889370973</v>
      </c>
      <c r="G40" s="128" t="n">
        <f aca="false">(G6/F6)^(1/5)-1</f>
        <v>0.00961238221818372</v>
      </c>
    </row>
  </sheetData>
  <mergeCells count="13">
    <mergeCell ref="A1:I1"/>
    <mergeCell ref="A2:I2"/>
    <mergeCell ref="A4:I4"/>
    <mergeCell ref="A10:I10"/>
    <mergeCell ref="A12:I12"/>
    <mergeCell ref="A18:I18"/>
    <mergeCell ref="A20:I20"/>
    <mergeCell ref="A25:I25"/>
    <mergeCell ref="A27:I27"/>
    <mergeCell ref="A28:I28"/>
    <mergeCell ref="A30:I30"/>
    <mergeCell ref="A37:I37"/>
    <mergeCell ref="A39:G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34"/>
    <col collapsed="false" customWidth="true" hidden="false" outlineLevel="0" max="3" min="3" style="1" width="38"/>
    <col collapsed="false" customWidth="true" hidden="false" outlineLevel="0" max="4" min="4" style="1" width="10"/>
    <col collapsed="false" customWidth="true" hidden="false" outlineLevel="0" max="5" min="5" style="1" width="24"/>
  </cols>
  <sheetData>
    <row r="1" customFormat="false" ht="24" hidden="false" customHeight="true" outlineLevel="0" collapsed="false">
      <c r="A1" s="14" t="s">
        <v>2113</v>
      </c>
      <c r="B1" s="14"/>
      <c r="C1" s="14"/>
      <c r="D1" s="14"/>
      <c r="E1" s="14"/>
    </row>
    <row r="2" customFormat="false" ht="42" hidden="false" customHeight="true" outlineLevel="0" collapsed="false">
      <c r="A2" s="3" t="s">
        <v>2114</v>
      </c>
      <c r="B2" s="3"/>
      <c r="C2" s="3"/>
      <c r="D2" s="3"/>
      <c r="E2" s="3"/>
    </row>
    <row r="3" customFormat="false" ht="13.5" hidden="false" customHeight="true" outlineLevel="0" collapsed="false"/>
    <row r="4" customFormat="false" ht="24" hidden="false" customHeight="true" outlineLevel="0" collapsed="false">
      <c r="A4" s="7" t="s">
        <v>2115</v>
      </c>
      <c r="B4" s="7" t="s">
        <v>2116</v>
      </c>
      <c r="C4" s="7" t="s">
        <v>2117</v>
      </c>
      <c r="D4" s="7" t="s">
        <v>1904</v>
      </c>
      <c r="E4" s="7" t="s">
        <v>729</v>
      </c>
    </row>
    <row r="5" customFormat="false" ht="30" hidden="false" customHeight="true" outlineLevel="0" collapsed="false">
      <c r="A5" s="8" t="s">
        <v>2077</v>
      </c>
      <c r="B5" s="9" t="s">
        <v>2118</v>
      </c>
      <c r="C5" s="9" t="s">
        <v>2119</v>
      </c>
      <c r="D5" s="9" t="s">
        <v>1256</v>
      </c>
      <c r="E5" s="9" t="s">
        <v>148</v>
      </c>
    </row>
    <row r="6" customFormat="false" ht="30" hidden="false" customHeight="true" outlineLevel="0" collapsed="false">
      <c r="A6" s="8" t="s">
        <v>2120</v>
      </c>
      <c r="B6" s="9" t="s">
        <v>2121</v>
      </c>
      <c r="C6" s="9" t="s">
        <v>2122</v>
      </c>
      <c r="D6" s="9" t="s">
        <v>1282</v>
      </c>
      <c r="E6" s="9" t="s">
        <v>148</v>
      </c>
    </row>
    <row r="7" customFormat="false" ht="30" hidden="false" customHeight="true" outlineLevel="0" collapsed="false">
      <c r="A7" s="8" t="s">
        <v>2123</v>
      </c>
      <c r="B7" s="9" t="s">
        <v>2124</v>
      </c>
      <c r="C7" s="9" t="s">
        <v>2125</v>
      </c>
      <c r="D7" s="9" t="s">
        <v>2126</v>
      </c>
      <c r="E7" s="9" t="s">
        <v>93</v>
      </c>
    </row>
    <row r="8" customFormat="false" ht="30" hidden="false" customHeight="true" outlineLevel="0" collapsed="false">
      <c r="A8" s="8" t="s">
        <v>2127</v>
      </c>
      <c r="B8" s="9" t="s">
        <v>2128</v>
      </c>
      <c r="C8" s="9" t="s">
        <v>2129</v>
      </c>
      <c r="D8" s="9" t="s">
        <v>116</v>
      </c>
      <c r="E8" s="9" t="s">
        <v>113</v>
      </c>
    </row>
    <row r="9" customFormat="false" ht="30" hidden="false" customHeight="true" outlineLevel="0" collapsed="false">
      <c r="A9" s="8" t="s">
        <v>2130</v>
      </c>
      <c r="B9" s="9" t="s">
        <v>2131</v>
      </c>
      <c r="C9" s="9" t="s">
        <v>2132</v>
      </c>
      <c r="D9" s="9" t="s">
        <v>1390</v>
      </c>
      <c r="E9" s="9" t="s">
        <v>2133</v>
      </c>
    </row>
    <row r="10" customFormat="false" ht="30" hidden="false" customHeight="true" outlineLevel="0" collapsed="false">
      <c r="A10" s="8" t="s">
        <v>2134</v>
      </c>
      <c r="B10" s="9" t="s">
        <v>2135</v>
      </c>
      <c r="C10" s="9" t="s">
        <v>2136</v>
      </c>
      <c r="D10" s="9" t="s">
        <v>2137</v>
      </c>
      <c r="E10" s="9" t="s">
        <v>2138</v>
      </c>
    </row>
    <row r="11" customFormat="false" ht="54.75" hidden="false" customHeight="true" outlineLevel="0" collapsed="false">
      <c r="A11" s="8" t="s">
        <v>2139</v>
      </c>
      <c r="B11" s="9" t="s">
        <v>2140</v>
      </c>
      <c r="C11" s="9" t="s">
        <v>2141</v>
      </c>
      <c r="D11" s="9" t="s">
        <v>1402</v>
      </c>
      <c r="E11" s="9" t="s">
        <v>1397</v>
      </c>
    </row>
    <row r="12" customFormat="false" ht="54.75" hidden="false" customHeight="true" outlineLevel="0" collapsed="false">
      <c r="A12" s="8" t="s">
        <v>2142</v>
      </c>
      <c r="B12" s="9" t="s">
        <v>2143</v>
      </c>
      <c r="C12" s="9" t="s">
        <v>2144</v>
      </c>
      <c r="D12" s="9" t="s">
        <v>1842</v>
      </c>
      <c r="E12" s="9" t="s">
        <v>2145</v>
      </c>
    </row>
    <row r="13" customFormat="false" ht="42" hidden="false" customHeight="true" outlineLevel="0" collapsed="false">
      <c r="A13" s="8" t="s">
        <v>2146</v>
      </c>
      <c r="B13" s="9" t="s">
        <v>2147</v>
      </c>
      <c r="C13" s="9" t="s">
        <v>2148</v>
      </c>
      <c r="D13" s="9" t="s">
        <v>2149</v>
      </c>
      <c r="E13" s="9" t="s">
        <v>2150</v>
      </c>
    </row>
    <row r="14" customFormat="false" ht="30" hidden="false" customHeight="true" outlineLevel="0" collapsed="false">
      <c r="A14" s="8" t="s">
        <v>2151</v>
      </c>
      <c r="B14" s="9" t="s">
        <v>2152</v>
      </c>
      <c r="C14" s="9" t="s">
        <v>2153</v>
      </c>
      <c r="D14" s="9" t="s">
        <v>1277</v>
      </c>
      <c r="E14" s="9" t="s">
        <v>148</v>
      </c>
    </row>
    <row r="15" customFormat="false" ht="9.75" hidden="false" customHeight="true" outlineLevel="0" collapsed="false"/>
    <row r="16" customFormat="false" ht="42" hidden="false" customHeight="true" outlineLevel="0" collapsed="false">
      <c r="A16" s="5" t="s">
        <v>2154</v>
      </c>
      <c r="B16" s="5"/>
      <c r="C16" s="5"/>
      <c r="D16" s="5"/>
      <c r="E16" s="5"/>
    </row>
  </sheetData>
  <mergeCells count="3">
    <mergeCell ref="A1:E1"/>
    <mergeCell ref="A2:E2"/>
    <mergeCell ref="A16:E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F8B"/>
    <pageSetUpPr fitToPage="true"/>
  </sheetPr>
  <dimension ref="A1:M6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4" min="2" style="1" width="15"/>
    <col collapsed="false" customWidth="true" hidden="false" outlineLevel="0" max="5" min="5" style="1" width="11"/>
    <col collapsed="false" customWidth="true" hidden="false" outlineLevel="0" max="7" min="6" style="1" width="12"/>
    <col collapsed="false" customWidth="true" hidden="false" outlineLevel="0" max="8" min="8" style="1" width="16"/>
    <col collapsed="false" customWidth="true" hidden="false" outlineLevel="0" max="10" min="9" style="1" width="13"/>
    <col collapsed="false" customWidth="true" hidden="false" outlineLevel="0" max="11" min="11" style="1" width="52"/>
    <col collapsed="false" customWidth="true" hidden="false" outlineLevel="0" max="13" min="12" style="1" width="16"/>
  </cols>
  <sheetData>
    <row r="1" customFormat="false" ht="24" hidden="false" customHeight="true" outlineLevel="0" collapsed="false">
      <c r="A1" s="14" t="s">
        <v>2155</v>
      </c>
      <c r="B1" s="14"/>
      <c r="C1" s="14"/>
      <c r="D1" s="14"/>
      <c r="E1" s="14"/>
      <c r="F1" s="14"/>
      <c r="G1" s="14"/>
      <c r="H1" s="14"/>
      <c r="I1" s="14"/>
      <c r="J1" s="14"/>
      <c r="K1" s="14"/>
      <c r="L1" s="14"/>
    </row>
    <row r="2" customFormat="false" ht="30" hidden="false" customHeight="true" outlineLevel="0" collapsed="false">
      <c r="A2" s="3" t="s">
        <v>2156</v>
      </c>
      <c r="B2" s="3"/>
      <c r="C2" s="3"/>
      <c r="D2" s="3"/>
      <c r="E2" s="3"/>
      <c r="F2" s="3"/>
      <c r="G2" s="3"/>
      <c r="H2" s="3"/>
      <c r="I2" s="3"/>
      <c r="J2" s="3"/>
      <c r="K2" s="3"/>
      <c r="L2" s="3"/>
    </row>
    <row r="3" customFormat="false" ht="13.5" hidden="false" customHeight="true" outlineLevel="0" collapsed="false"/>
    <row r="4" customFormat="false" ht="33.75" hidden="false" customHeight="true" outlineLevel="0" collapsed="false">
      <c r="A4" s="16" t="s">
        <v>723</v>
      </c>
      <c r="B4" s="16" t="s">
        <v>2157</v>
      </c>
      <c r="C4" s="16" t="s">
        <v>2158</v>
      </c>
      <c r="D4" s="16" t="s">
        <v>2159</v>
      </c>
      <c r="E4" s="16" t="s">
        <v>2160</v>
      </c>
      <c r="F4" s="16" t="s">
        <v>2161</v>
      </c>
      <c r="G4" s="16" t="s">
        <v>2162</v>
      </c>
      <c r="H4" s="16" t="s">
        <v>2163</v>
      </c>
      <c r="I4" s="16" t="s">
        <v>2164</v>
      </c>
      <c r="J4" s="16" t="s">
        <v>2165</v>
      </c>
      <c r="K4" s="16" t="s">
        <v>2166</v>
      </c>
      <c r="L4" s="16" t="s">
        <v>2167</v>
      </c>
      <c r="M4" s="16" t="s">
        <v>2168</v>
      </c>
    </row>
    <row r="5" customFormat="false" ht="30" hidden="false" customHeight="true" outlineLevel="0" collapsed="false">
      <c r="A5" s="124" t="s">
        <v>2086</v>
      </c>
      <c r="B5" s="98" t="n">
        <v>1383929</v>
      </c>
      <c r="C5" s="98" t="n">
        <v>837154</v>
      </c>
      <c r="D5" s="105" t="n">
        <f aca="false">B5+C5</f>
        <v>2221083</v>
      </c>
      <c r="E5" s="98" t="n">
        <v>35983022</v>
      </c>
      <c r="F5" s="129" t="n">
        <f aca="false">D5/E5</f>
        <v>0.0617258606017027</v>
      </c>
      <c r="G5" s="99" t="n">
        <f aca="false">B5/D5</f>
        <v>0.623087475794466</v>
      </c>
      <c r="H5" s="98" t="n">
        <v>39525405</v>
      </c>
      <c r="I5" s="104" t="n">
        <f aca="false">D5/E5*1000</f>
        <v>61.7258606017027</v>
      </c>
      <c r="J5" s="97" t="s">
        <v>2169</v>
      </c>
      <c r="K5" s="18" t="s">
        <v>2170</v>
      </c>
      <c r="L5" s="129" t="n">
        <f aca="false">B5/E5</f>
        <v>0.038460610673556</v>
      </c>
      <c r="M5" s="129" t="n">
        <f aca="false">C5/E5</f>
        <v>0.0232652499281467</v>
      </c>
    </row>
    <row r="6" customFormat="false" ht="30" hidden="false" customHeight="true" outlineLevel="0" collapsed="false">
      <c r="A6" s="124" t="s">
        <v>2171</v>
      </c>
      <c r="B6" s="98" t="n">
        <v>1639779</v>
      </c>
      <c r="C6" s="98" t="n">
        <v>877693</v>
      </c>
      <c r="D6" s="105" t="n">
        <f aca="false">B6+C6</f>
        <v>2517472</v>
      </c>
      <c r="E6" s="98" t="n">
        <v>36334496</v>
      </c>
      <c r="F6" s="129" t="n">
        <f aca="false">D6/E6</f>
        <v>0.0692860030313892</v>
      </c>
      <c r="G6" s="99" t="n">
        <f aca="false">B6/D6</f>
        <v>0.651359379568075</v>
      </c>
      <c r="H6" s="98" t="n">
        <v>39885120</v>
      </c>
      <c r="I6" s="104" t="n">
        <f aca="false">D6/E6*1000</f>
        <v>69.2860030313892</v>
      </c>
      <c r="J6" s="97" t="s">
        <v>2169</v>
      </c>
      <c r="K6" s="18" t="s">
        <v>2170</v>
      </c>
      <c r="L6" s="129" t="n">
        <f aca="false">B6/E6</f>
        <v>0.0451300879472774</v>
      </c>
      <c r="M6" s="129" t="n">
        <f aca="false">C6/E6</f>
        <v>0.0241559150841118</v>
      </c>
    </row>
    <row r="7" customFormat="false" ht="30" hidden="false" customHeight="true" outlineLevel="0" collapsed="false">
      <c r="A7" s="124" t="s">
        <v>2172</v>
      </c>
      <c r="B7" s="98" t="n">
        <v>1877016</v>
      </c>
      <c r="C7" s="98" t="n">
        <v>864489</v>
      </c>
      <c r="D7" s="105" t="n">
        <f aca="false">B7+C7</f>
        <v>2741505</v>
      </c>
      <c r="E7" s="98" t="n">
        <v>35986320</v>
      </c>
      <c r="F7" s="129" t="n">
        <f aca="false">D7/E7</f>
        <v>0.0761818657756614</v>
      </c>
      <c r="G7" s="99" t="n">
        <f aca="false">B7/D7</f>
        <v>0.684666269074833</v>
      </c>
      <c r="H7" s="98" t="n">
        <v>39434956</v>
      </c>
      <c r="I7" s="104" t="n">
        <f aca="false">D7/E7*1000</f>
        <v>76.1818657756614</v>
      </c>
      <c r="J7" s="97" t="s">
        <v>2169</v>
      </c>
      <c r="K7" s="18" t="s">
        <v>2170</v>
      </c>
      <c r="L7" s="129" t="n">
        <f aca="false">B7/E7</f>
        <v>0.0521591538117818</v>
      </c>
      <c r="M7" s="129" t="n">
        <f aca="false">C7/E7</f>
        <v>0.0240227119638796</v>
      </c>
    </row>
    <row r="8" customFormat="false" ht="30" hidden="false" customHeight="true" outlineLevel="0" collapsed="false">
      <c r="A8" s="124" t="s">
        <v>1062</v>
      </c>
      <c r="B8" s="98" t="n">
        <v>1942692</v>
      </c>
      <c r="C8" s="98" t="n">
        <v>835417</v>
      </c>
      <c r="D8" s="105" t="n">
        <f aca="false">B8+C8</f>
        <v>2778109</v>
      </c>
      <c r="E8" s="98" t="n">
        <v>35672276</v>
      </c>
      <c r="F8" s="129" t="n">
        <f aca="false">D8/E8</f>
        <v>0.0778786584853739</v>
      </c>
      <c r="G8" s="99" t="n">
        <f aca="false">B8/D8</f>
        <v>0.6992857371687</v>
      </c>
      <c r="H8" s="98" t="n">
        <v>39008298</v>
      </c>
      <c r="I8" s="104" t="n">
        <f aca="false">D8/E8*1000</f>
        <v>77.8786584853739</v>
      </c>
      <c r="J8" s="97" t="s">
        <v>2169</v>
      </c>
      <c r="K8" s="18" t="s">
        <v>2170</v>
      </c>
      <c r="L8" s="129" t="n">
        <f aca="false">B8/E8</f>
        <v>0.0544594351086541</v>
      </c>
      <c r="M8" s="129" t="n">
        <f aca="false">C8/E8</f>
        <v>0.0234192233767198</v>
      </c>
    </row>
    <row r="9" customFormat="false" ht="30" hidden="false" customHeight="true" outlineLevel="0" collapsed="false">
      <c r="A9" s="124" t="s">
        <v>2173</v>
      </c>
      <c r="B9" s="98" t="n">
        <v>2005324</v>
      </c>
      <c r="C9" s="98" t="n">
        <v>821658</v>
      </c>
      <c r="D9" s="105" t="n">
        <f aca="false">B9+C9</f>
        <v>2826982</v>
      </c>
      <c r="E9" s="98" t="n">
        <v>35350087</v>
      </c>
      <c r="F9" s="129" t="n">
        <f aca="false">D9/E9</f>
        <v>0.0799710054461818</v>
      </c>
      <c r="G9" s="99" t="n">
        <f aca="false">B9/D9</f>
        <v>0.709351527530066</v>
      </c>
      <c r="H9" s="98" t="n">
        <v>38590732</v>
      </c>
      <c r="I9" s="104" t="n">
        <f aca="false">D9/E9*1000</f>
        <v>79.9710054461818</v>
      </c>
      <c r="J9" s="97" t="s">
        <v>2169</v>
      </c>
      <c r="K9" s="18" t="s">
        <v>2170</v>
      </c>
      <c r="L9" s="129" t="n">
        <f aca="false">B9/E9</f>
        <v>0.0567275548713643</v>
      </c>
      <c r="M9" s="129" t="n">
        <f aca="false">C9/E9</f>
        <v>0.0232434505748175</v>
      </c>
    </row>
    <row r="10" customFormat="false" ht="16.5" hidden="false" customHeight="true" outlineLevel="0" collapsed="false">
      <c r="A10" s="124" t="s">
        <v>778</v>
      </c>
      <c r="B10" s="98" t="n">
        <v>2156598</v>
      </c>
      <c r="C10" s="98" t="n">
        <v>743295</v>
      </c>
      <c r="D10" s="105" t="n">
        <f aca="false">B10+C10</f>
        <v>2899893</v>
      </c>
      <c r="E10" s="98" t="n">
        <v>34828778</v>
      </c>
      <c r="F10" s="129" t="n">
        <f aca="false">D10/E10</f>
        <v>0.0832614052666447</v>
      </c>
      <c r="G10" s="99" t="n">
        <f aca="false">B10/D10</f>
        <v>0.743681922057124</v>
      </c>
      <c r="H10" s="98" t="n">
        <v>36484846</v>
      </c>
      <c r="I10" s="104" t="n">
        <f aca="false">D10/E10*1000</f>
        <v>83.2614052666447</v>
      </c>
      <c r="J10" s="97" t="s">
        <v>2174</v>
      </c>
      <c r="K10" s="18" t="s">
        <v>2175</v>
      </c>
      <c r="L10" s="129" t="n">
        <f aca="false">B10/E10</f>
        <v>0.0619200019018755</v>
      </c>
      <c r="M10" s="129" t="n">
        <f aca="false">C10/E10</f>
        <v>0.0213414033647692</v>
      </c>
    </row>
    <row r="11" customFormat="false" ht="15" hidden="false" customHeight="true" outlineLevel="0" collapsed="false">
      <c r="A11" s="124" t="s">
        <v>2176</v>
      </c>
      <c r="B11" s="98" t="n">
        <v>2043418</v>
      </c>
      <c r="C11" s="98" t="n">
        <v>711364</v>
      </c>
      <c r="D11" s="105" t="n">
        <f aca="false">B11+C11</f>
        <v>2754782</v>
      </c>
      <c r="E11" s="98" t="n">
        <v>34062869</v>
      </c>
      <c r="F11" s="129" t="n">
        <f aca="false">D11/E11</f>
        <v>0.0808734578405595</v>
      </c>
      <c r="G11" s="99" t="n">
        <f aca="false">B11/D11</f>
        <v>0.741771218194398</v>
      </c>
      <c r="H11" s="98" t="n">
        <v>35597792</v>
      </c>
      <c r="I11" s="104" t="n">
        <f aca="false">D11/E11*1000</f>
        <v>80.8734578405595</v>
      </c>
      <c r="J11" s="97" t="s">
        <v>2174</v>
      </c>
      <c r="K11" s="18"/>
      <c r="L11" s="129" t="n">
        <f aca="false">B11/E11</f>
        <v>0.0599896033419851</v>
      </c>
      <c r="M11" s="129" t="n">
        <f aca="false">C11/E11</f>
        <v>0.0208838544985744</v>
      </c>
    </row>
    <row r="12" customFormat="false" ht="15" hidden="false" customHeight="true" outlineLevel="0" collapsed="false">
      <c r="A12" s="124" t="s">
        <v>2177</v>
      </c>
      <c r="B12" s="98" t="n">
        <v>2051283</v>
      </c>
      <c r="C12" s="98" t="n">
        <v>703140</v>
      </c>
      <c r="D12" s="105" t="n">
        <f aca="false">B12+C12</f>
        <v>2754423</v>
      </c>
      <c r="E12" s="98" t="n">
        <v>33516951</v>
      </c>
      <c r="F12" s="129" t="n">
        <f aca="false">D12/E12</f>
        <v>0.0821799990100532</v>
      </c>
      <c r="G12" s="99" t="n">
        <f aca="false">B12/D12</f>
        <v>0.744723305026134</v>
      </c>
      <c r="H12" s="98" t="n">
        <v>35358817</v>
      </c>
      <c r="I12" s="104" t="n">
        <f aca="false">D12/E12*1000</f>
        <v>82.1799990100532</v>
      </c>
      <c r="J12" s="97" t="s">
        <v>2174</v>
      </c>
      <c r="K12" s="18"/>
      <c r="L12" s="129" t="n">
        <f aca="false">B12/E12</f>
        <v>0.0612013604698112</v>
      </c>
      <c r="M12" s="129" t="n">
        <f aca="false">C12/E12</f>
        <v>0.0209786385402419</v>
      </c>
    </row>
    <row r="13" customFormat="false" ht="42" hidden="false" customHeight="true" outlineLevel="0" collapsed="false">
      <c r="A13" s="124" t="s">
        <v>2178</v>
      </c>
      <c r="B13" s="98" t="n">
        <v>2044315</v>
      </c>
      <c r="C13" s="98" t="n">
        <v>697105</v>
      </c>
      <c r="D13" s="105" t="n">
        <f aca="false">B13+C13</f>
        <v>2741420</v>
      </c>
      <c r="E13" s="98" t="n">
        <v>33817285</v>
      </c>
      <c r="F13" s="129" t="n">
        <f aca="false">D13/E13</f>
        <v>0.081065644388661</v>
      </c>
      <c r="G13" s="99" t="n">
        <f aca="false">B13/D13</f>
        <v>0.745713900095571</v>
      </c>
      <c r="H13" s="98" t="n">
        <v>35769942</v>
      </c>
      <c r="I13" s="104" t="n">
        <f aca="false">D13/E13*1000</f>
        <v>81.065644388661</v>
      </c>
      <c r="J13" s="97" t="s">
        <v>2174</v>
      </c>
      <c r="K13" s="18" t="s">
        <v>2179</v>
      </c>
      <c r="L13" s="129" t="n">
        <f aca="false">B13/E13</f>
        <v>0.060451777840829</v>
      </c>
      <c r="M13" s="129" t="n">
        <f aca="false">C13/E13</f>
        <v>0.020613866547832</v>
      </c>
    </row>
    <row r="14" customFormat="false" ht="15" hidden="false" customHeight="true" outlineLevel="0" collapsed="false">
      <c r="A14" s="124" t="s">
        <v>866</v>
      </c>
      <c r="B14" s="98" t="n">
        <v>2363592</v>
      </c>
      <c r="C14" s="98" t="n">
        <v>695409</v>
      </c>
      <c r="D14" s="105" t="n">
        <f aca="false">B14+C14</f>
        <v>3059001</v>
      </c>
      <c r="E14" s="98" t="n">
        <v>34031587</v>
      </c>
      <c r="F14" s="129" t="n">
        <f aca="false">D14/E14</f>
        <v>0.0898871098782434</v>
      </c>
      <c r="G14" s="99" t="n">
        <f aca="false">B14/D14</f>
        <v>0.772667939631272</v>
      </c>
      <c r="H14" s="98" t="n">
        <v>35675421</v>
      </c>
      <c r="I14" s="104" t="n">
        <f aca="false">D14/E14*1000</f>
        <v>89.8871098782434</v>
      </c>
      <c r="J14" s="97" t="s">
        <v>2174</v>
      </c>
      <c r="K14" s="18"/>
      <c r="L14" s="129" t="n">
        <f aca="false">B14/E14</f>
        <v>0.0694528879890321</v>
      </c>
      <c r="M14" s="129" t="n">
        <f aca="false">C14/E14</f>
        <v>0.0204342218892113</v>
      </c>
    </row>
    <row r="15" customFormat="false" ht="15" hidden="false" customHeight="true" outlineLevel="0" collapsed="false">
      <c r="A15" s="124" t="s">
        <v>1057</v>
      </c>
      <c r="B15" s="98" t="n">
        <v>2333630</v>
      </c>
      <c r="C15" s="98" t="n">
        <v>705669</v>
      </c>
      <c r="D15" s="105" t="n">
        <f aca="false">B15+C15</f>
        <v>3039299</v>
      </c>
      <c r="E15" s="98" t="n">
        <v>34305620</v>
      </c>
      <c r="F15" s="129" t="n">
        <f aca="false">D15/E15</f>
        <v>0.0885947841782192</v>
      </c>
      <c r="G15" s="99" t="n">
        <f aca="false">B15/D15</f>
        <v>0.767818500252854</v>
      </c>
      <c r="H15" s="98" t="n">
        <v>35798453</v>
      </c>
      <c r="I15" s="104" t="n">
        <f aca="false">D15/E15*1000</f>
        <v>88.5947841782192</v>
      </c>
      <c r="J15" s="97" t="s">
        <v>2174</v>
      </c>
      <c r="K15" s="18"/>
      <c r="L15" s="129" t="n">
        <f aca="false">B15/E15</f>
        <v>0.0680247143179456</v>
      </c>
      <c r="M15" s="129" t="n">
        <f aca="false">C15/E15</f>
        <v>0.0205700698602736</v>
      </c>
    </row>
    <row r="16" customFormat="false" ht="15" hidden="false" customHeight="true" outlineLevel="0" collapsed="false">
      <c r="A16" s="124" t="s">
        <v>1153</v>
      </c>
      <c r="B16" s="98" t="n">
        <v>2292546</v>
      </c>
      <c r="C16" s="98" t="n">
        <v>704629</v>
      </c>
      <c r="D16" s="105" t="n">
        <f aca="false">B16+C16</f>
        <v>2997175</v>
      </c>
      <c r="E16" s="98" t="n">
        <v>34251159</v>
      </c>
      <c r="F16" s="129" t="n">
        <f aca="false">D16/E16</f>
        <v>0.0875057979789823</v>
      </c>
      <c r="G16" s="99" t="n">
        <f aca="false">B16/D16</f>
        <v>0.764902282983142</v>
      </c>
      <c r="H16" s="98" t="n">
        <v>35527481</v>
      </c>
      <c r="I16" s="104" t="n">
        <f aca="false">D16/E16*1000</f>
        <v>87.5057979789823</v>
      </c>
      <c r="J16" s="97" t="s">
        <v>2174</v>
      </c>
      <c r="K16" s="18"/>
      <c r="L16" s="129" t="n">
        <f aca="false">B16/E16</f>
        <v>0.0669333846483852</v>
      </c>
      <c r="M16" s="129" t="n">
        <f aca="false">C16/E16</f>
        <v>0.0205724133305971</v>
      </c>
    </row>
    <row r="17" customFormat="false" ht="15" hidden="false" customHeight="true" outlineLevel="0" collapsed="false">
      <c r="A17" s="124" t="s">
        <v>844</v>
      </c>
      <c r="B17" s="98" t="n">
        <v>2532807</v>
      </c>
      <c r="C17" s="98" t="n">
        <v>701459</v>
      </c>
      <c r="D17" s="105" t="n">
        <f aca="false">B17+C17</f>
        <v>3234266</v>
      </c>
      <c r="E17" s="98" t="n">
        <v>34078100</v>
      </c>
      <c r="F17" s="129" t="n">
        <f aca="false">D17/E17</f>
        <v>0.094907462563934</v>
      </c>
      <c r="G17" s="99" t="n">
        <f aca="false">B17/D17</f>
        <v>0.78311647836016</v>
      </c>
      <c r="H17" s="98" t="n">
        <v>35419022</v>
      </c>
      <c r="I17" s="104" t="n">
        <f aca="false">D17/E17*1000</f>
        <v>94.907462563934</v>
      </c>
      <c r="J17" s="97" t="s">
        <v>2174</v>
      </c>
      <c r="K17" s="18"/>
      <c r="L17" s="129" t="n">
        <f aca="false">B17/E17</f>
        <v>0.0743235978531667</v>
      </c>
      <c r="M17" s="129" t="n">
        <f aca="false">C17/E17</f>
        <v>0.0205838647107673</v>
      </c>
    </row>
    <row r="18" customFormat="false" ht="15" hidden="false" customHeight="true" outlineLevel="0" collapsed="false">
      <c r="A18" s="124" t="s">
        <v>1862</v>
      </c>
      <c r="B18" s="98" t="n">
        <v>2359079</v>
      </c>
      <c r="C18" s="98" t="n">
        <v>643490</v>
      </c>
      <c r="D18" s="105" t="n">
        <f aca="false">B18+C18</f>
        <v>3002569</v>
      </c>
      <c r="E18" s="98" t="n">
        <v>31393318</v>
      </c>
      <c r="F18" s="129" t="n">
        <f aca="false">D18/E18</f>
        <v>0.0956435697558315</v>
      </c>
      <c r="G18" s="99" t="n">
        <f aca="false">B18/D18</f>
        <v>0.785686856821608</v>
      </c>
      <c r="H18" s="98" t="n">
        <v>32355826</v>
      </c>
      <c r="I18" s="104" t="n">
        <f aca="false">D18/E18*1000</f>
        <v>95.6435697558315</v>
      </c>
      <c r="J18" s="97" t="s">
        <v>2174</v>
      </c>
      <c r="K18" s="18" t="s">
        <v>2180</v>
      </c>
      <c r="L18" s="129" t="n">
        <f aca="false">B18/E18</f>
        <v>0.0751458956966575</v>
      </c>
      <c r="M18" s="129" t="n">
        <f aca="false">C18/E18</f>
        <v>0.020497674059174</v>
      </c>
    </row>
    <row r="19" customFormat="false" ht="15" hidden="false" customHeight="true" outlineLevel="0" collapsed="false">
      <c r="A19" s="124" t="s">
        <v>1163</v>
      </c>
      <c r="B19" s="98" t="n">
        <v>2305329</v>
      </c>
      <c r="C19" s="98" t="n">
        <v>649198</v>
      </c>
      <c r="D19" s="105" t="n">
        <f aca="false">B19+C19</f>
        <v>2954527</v>
      </c>
      <c r="E19" s="98" t="n">
        <v>31967073</v>
      </c>
      <c r="F19" s="129" t="n">
        <f aca="false">D19/E19</f>
        <v>0.0924240702300145</v>
      </c>
      <c r="G19" s="99" t="n">
        <f aca="false">B19/D19</f>
        <v>0.780270073686922</v>
      </c>
      <c r="H19" s="98" t="n">
        <v>33333721</v>
      </c>
      <c r="I19" s="104" t="n">
        <f aca="false">D19/E19*1000</f>
        <v>92.4240702300145</v>
      </c>
      <c r="J19" s="97" t="s">
        <v>2174</v>
      </c>
      <c r="K19" s="18" t="s">
        <v>2180</v>
      </c>
      <c r="L19" s="129" t="n">
        <f aca="false">B19/E19</f>
        <v>0.0721157360888187</v>
      </c>
      <c r="M19" s="129" t="n">
        <f aca="false">C19/E19</f>
        <v>0.0203083341411958</v>
      </c>
    </row>
    <row r="20" customFormat="false" ht="15" hidden="false" customHeight="true" outlineLevel="0" collapsed="false">
      <c r="A20" s="124" t="s">
        <v>733</v>
      </c>
      <c r="B20" s="98" t="n">
        <v>2311549</v>
      </c>
      <c r="C20" s="98" t="n">
        <v>617724</v>
      </c>
      <c r="D20" s="105" t="n">
        <f aca="false">B20+C20</f>
        <v>2929273</v>
      </c>
      <c r="E20" s="98" t="n">
        <v>31555807</v>
      </c>
      <c r="F20" s="129" t="n">
        <f aca="false">D20/E20</f>
        <v>0.0928283342587309</v>
      </c>
      <c r="G20" s="99" t="n">
        <f aca="false">B20/D20</f>
        <v>0.789120372187911</v>
      </c>
      <c r="H20" s="98" t="n">
        <v>32891848</v>
      </c>
      <c r="I20" s="104" t="n">
        <f aca="false">D20/E20*1000</f>
        <v>92.8283342587309</v>
      </c>
      <c r="J20" s="97" t="s">
        <v>2174</v>
      </c>
      <c r="K20" s="18"/>
      <c r="L20" s="129" t="n">
        <f aca="false">B20/E20</f>
        <v>0.0732527296798336</v>
      </c>
      <c r="M20" s="129" t="n">
        <f aca="false">C20/E20</f>
        <v>0.0195756045788973</v>
      </c>
    </row>
    <row r="21" customFormat="false" ht="30" hidden="false" customHeight="true" outlineLevel="0" collapsed="false">
      <c r="A21" s="124" t="s">
        <v>741</v>
      </c>
      <c r="B21" s="98" t="n">
        <v>2554379</v>
      </c>
      <c r="C21" s="98" t="n">
        <v>630765</v>
      </c>
      <c r="D21" s="105" t="n">
        <f aca="false">B21+C21</f>
        <v>3185144</v>
      </c>
      <c r="E21" s="98" t="n">
        <v>32345846</v>
      </c>
      <c r="F21" s="129" t="n">
        <f aca="false">D21/E21</f>
        <v>0.0984715007917864</v>
      </c>
      <c r="G21" s="99" t="n">
        <f aca="false">B21/D21</f>
        <v>0.801966567288638</v>
      </c>
      <c r="H21" s="98" t="n">
        <v>33718585</v>
      </c>
      <c r="I21" s="104" t="n">
        <f aca="false">D21/E21*1000</f>
        <v>98.4715007917864</v>
      </c>
      <c r="J21" s="97" t="s">
        <v>2181</v>
      </c>
      <c r="K21" s="18" t="s">
        <v>2182</v>
      </c>
      <c r="L21" s="129" t="n">
        <f aca="false">B21/E21</f>
        <v>0.0789708514657493</v>
      </c>
      <c r="M21" s="129" t="n">
        <f aca="false">C21/E21</f>
        <v>0.0195006493260371</v>
      </c>
    </row>
    <row r="22" customFormat="false" ht="9.75" hidden="false" customHeight="true" outlineLevel="0" collapsed="false"/>
    <row r="23" customFormat="false" ht="42" hidden="false" customHeight="true" outlineLevel="0" collapsed="false">
      <c r="A23" s="21" t="s">
        <v>2183</v>
      </c>
    </row>
    <row r="24" customFormat="false" ht="24" hidden="false" customHeight="true" outlineLevel="0" collapsed="false">
      <c r="A24" s="16" t="s">
        <v>1902</v>
      </c>
      <c r="B24" s="16" t="s">
        <v>778</v>
      </c>
      <c r="C24" s="16" t="s">
        <v>741</v>
      </c>
      <c r="D24" s="16" t="s">
        <v>2184</v>
      </c>
      <c r="E24" s="16" t="s">
        <v>2185</v>
      </c>
      <c r="F24" s="16" t="s">
        <v>725</v>
      </c>
    </row>
    <row r="25" customFormat="false" ht="30" hidden="false" customHeight="true" outlineLevel="0" collapsed="false">
      <c r="A25" s="9" t="s">
        <v>2186</v>
      </c>
      <c r="B25" s="130" t="n">
        <f aca="false">B10</f>
        <v>2156598</v>
      </c>
      <c r="C25" s="130" t="n">
        <f aca="false">B21</f>
        <v>2554379</v>
      </c>
      <c r="D25" s="99" t="n">
        <f aca="false">C25/B25-1</f>
        <v>0.184448376563458</v>
      </c>
      <c r="E25" s="129" t="n">
        <f aca="false">(C25/B25)^(1/11)-1</f>
        <v>0.015507850655432</v>
      </c>
      <c r="F25" s="17" t="s">
        <v>735</v>
      </c>
    </row>
    <row r="26" customFormat="false" ht="30" hidden="false" customHeight="true" outlineLevel="0" collapsed="false">
      <c r="A26" s="9" t="s">
        <v>2187</v>
      </c>
      <c r="B26" s="130" t="n">
        <f aca="false">C10</f>
        <v>743295</v>
      </c>
      <c r="C26" s="130" t="n">
        <f aca="false">C21</f>
        <v>630765</v>
      </c>
      <c r="D26" s="99" t="n">
        <f aca="false">C26/B26-1</f>
        <v>-0.151393457510141</v>
      </c>
      <c r="E26" s="129" t="n">
        <f aca="false">(C26/B26)^(1/11)-1</f>
        <v>-0.0148127982385301</v>
      </c>
      <c r="F26" s="17" t="s">
        <v>735</v>
      </c>
    </row>
    <row r="27" customFormat="false" ht="30" hidden="false" customHeight="true" outlineLevel="0" collapsed="false">
      <c r="A27" s="9" t="s">
        <v>2188</v>
      </c>
      <c r="B27" s="130" t="n">
        <f aca="false">D10</f>
        <v>2899893</v>
      </c>
      <c r="C27" s="130" t="n">
        <f aca="false">D21</f>
        <v>3185144</v>
      </c>
      <c r="D27" s="99" t="n">
        <f aca="false">C27/B27-1</f>
        <v>0.0983660431609028</v>
      </c>
      <c r="E27" s="129" t="n">
        <f aca="false">(C27/B27)^(1/11)-1</f>
        <v>0.0085659028276972</v>
      </c>
      <c r="F27" s="17" t="s">
        <v>735</v>
      </c>
    </row>
    <row r="28" customFormat="false" ht="30" hidden="false" customHeight="true" outlineLevel="0" collapsed="false">
      <c r="A28" s="9" t="s">
        <v>495</v>
      </c>
      <c r="B28" s="130" t="n">
        <f aca="false">E10</f>
        <v>34828778</v>
      </c>
      <c r="C28" s="130" t="n">
        <f aca="false">E21</f>
        <v>32345846</v>
      </c>
      <c r="D28" s="99" t="n">
        <f aca="false">C28/B28-1</f>
        <v>-0.071289667412391</v>
      </c>
      <c r="E28" s="129" t="n">
        <f aca="false">(C28/B28)^(1/11)-1</f>
        <v>-0.00670093830969543</v>
      </c>
      <c r="F28" s="17" t="s">
        <v>735</v>
      </c>
    </row>
    <row r="29" customFormat="false" ht="30" hidden="false" customHeight="true" outlineLevel="0" collapsed="false">
      <c r="A29" s="9" t="s">
        <v>2189</v>
      </c>
      <c r="B29" s="130" t="n">
        <f aca="false">H10</f>
        <v>36484846</v>
      </c>
      <c r="C29" s="130" t="n">
        <f aca="false">H21</f>
        <v>33718585</v>
      </c>
      <c r="D29" s="99" t="n">
        <f aca="false">C29/B29-1</f>
        <v>-0.0758194511770722</v>
      </c>
      <c r="E29" s="129" t="n">
        <f aca="false">(C29/B29)^(1/11)-1</f>
        <v>-0.00714235556977183</v>
      </c>
      <c r="F29" s="17" t="s">
        <v>735</v>
      </c>
    </row>
    <row r="30" customFormat="false" ht="30" hidden="false" customHeight="true" outlineLevel="0" collapsed="false">
      <c r="A30" s="9" t="s">
        <v>2190</v>
      </c>
      <c r="B30" s="131" t="n">
        <f aca="false">F10</f>
        <v>0.0832614052666447</v>
      </c>
      <c r="C30" s="131" t="n">
        <f aca="false">F21</f>
        <v>0.0984715007917864</v>
      </c>
      <c r="D30" s="99" t="n">
        <f aca="false">C30/B30-1</f>
        <v>0.18267882311656</v>
      </c>
      <c r="E30" s="129" t="n">
        <f aca="false">(C30/B30)^(1/11)-1</f>
        <v>0.0153698334431251</v>
      </c>
      <c r="F30" s="17" t="s">
        <v>751</v>
      </c>
    </row>
    <row r="31" customFormat="false" ht="9.75" hidden="false" customHeight="true" outlineLevel="0" collapsed="false"/>
    <row r="32" customFormat="false" ht="30" hidden="false" customHeight="true" outlineLevel="0" collapsed="false">
      <c r="A32" s="21" t="s">
        <v>2191</v>
      </c>
    </row>
    <row r="33" customFormat="false" ht="24" hidden="false" customHeight="true" outlineLevel="0" collapsed="false">
      <c r="A33" s="16" t="s">
        <v>1902</v>
      </c>
      <c r="B33" s="16" t="s">
        <v>581</v>
      </c>
      <c r="C33" s="16" t="s">
        <v>725</v>
      </c>
    </row>
    <row r="34" customFormat="false" ht="30" hidden="false" customHeight="true" outlineLevel="0" collapsed="false">
      <c r="A34" s="9" t="s">
        <v>2192</v>
      </c>
      <c r="B34" s="105" t="n">
        <f aca="false">AVERAGE(D17:D21)</f>
        <v>3061155.8</v>
      </c>
      <c r="C34" s="17" t="s">
        <v>751</v>
      </c>
    </row>
    <row r="35" customFormat="false" ht="16.5" hidden="false" customHeight="true" outlineLevel="0" collapsed="false">
      <c r="A35" s="9" t="s">
        <v>2193</v>
      </c>
      <c r="B35" s="105" t="n">
        <f aca="false">MIN(D17:D21)</f>
        <v>2929273</v>
      </c>
      <c r="C35" s="17" t="s">
        <v>751</v>
      </c>
    </row>
    <row r="36" customFormat="false" ht="16.5" hidden="false" customHeight="true" outlineLevel="0" collapsed="false">
      <c r="A36" s="9" t="s">
        <v>2194</v>
      </c>
      <c r="B36" s="105" t="n">
        <f aca="false">MAX(D17:D21)</f>
        <v>3234266</v>
      </c>
      <c r="C36" s="17" t="s">
        <v>751</v>
      </c>
    </row>
    <row r="37" customFormat="false" ht="16.5" hidden="false" customHeight="true" outlineLevel="0" collapsed="false">
      <c r="A37" s="9" t="s">
        <v>2195</v>
      </c>
      <c r="B37" s="129" t="n">
        <f aca="false">AVERAGE(F17:F21)</f>
        <v>0.0948549875200595</v>
      </c>
      <c r="C37" s="17" t="s">
        <v>751</v>
      </c>
    </row>
    <row r="38" customFormat="false" ht="30" hidden="false" customHeight="true" outlineLevel="0" collapsed="false">
      <c r="A38" s="9" t="s">
        <v>2196</v>
      </c>
      <c r="B38" s="129" t="n">
        <f aca="false">STDEV(F17:F21)</f>
        <v>0.00243518305934457</v>
      </c>
      <c r="C38" s="17" t="s">
        <v>751</v>
      </c>
    </row>
    <row r="39" customFormat="false" ht="16.5" hidden="false" customHeight="true" outlineLevel="0" collapsed="false">
      <c r="A39" s="97" t="s">
        <v>2197</v>
      </c>
      <c r="B39" s="129" t="n">
        <f aca="false">MIN(F17:F21)</f>
        <v>0.0924240702300145</v>
      </c>
      <c r="C39" s="17" t="s">
        <v>751</v>
      </c>
    </row>
    <row r="40" customFormat="false" ht="16.5" hidden="false" customHeight="true" outlineLevel="0" collapsed="false">
      <c r="A40" s="97" t="s">
        <v>2198</v>
      </c>
      <c r="B40" s="129" t="n">
        <f aca="false">MAX(F17:F21)</f>
        <v>0.0984715007917864</v>
      </c>
      <c r="C40" s="17" t="s">
        <v>751</v>
      </c>
    </row>
    <row r="41" customFormat="false" ht="30" hidden="false" customHeight="true" outlineLevel="0" collapsed="false">
      <c r="A41" s="9" t="s">
        <v>2199</v>
      </c>
      <c r="B41" s="121" t="n">
        <f aca="false">G10</f>
        <v>0.743681922057124</v>
      </c>
      <c r="C41" s="17" t="s">
        <v>751</v>
      </c>
    </row>
    <row r="42" customFormat="false" ht="30" hidden="false" customHeight="true" outlineLevel="0" collapsed="false">
      <c r="A42" s="9" t="s">
        <v>2200</v>
      </c>
      <c r="B42" s="121" t="n">
        <f aca="false">G20</f>
        <v>0.789120372187911</v>
      </c>
      <c r="C42" s="17" t="s">
        <v>751</v>
      </c>
    </row>
    <row r="43" customFormat="false" ht="30" hidden="false" customHeight="true" outlineLevel="0" collapsed="false">
      <c r="A43" s="9" t="s">
        <v>2201</v>
      </c>
      <c r="B43" s="121" t="n">
        <f aca="false">G21</f>
        <v>0.801966567288638</v>
      </c>
      <c r="C43" s="17" t="s">
        <v>751</v>
      </c>
    </row>
    <row r="44" customFormat="false" ht="9.75" hidden="false" customHeight="true" outlineLevel="0" collapsed="false"/>
    <row r="45" customFormat="false" ht="30" hidden="false" customHeight="true" outlineLevel="0" collapsed="false">
      <c r="A45" s="19" t="s">
        <v>2202</v>
      </c>
      <c r="B45" s="19"/>
      <c r="C45" s="19"/>
      <c r="D45" s="19"/>
      <c r="E45" s="19"/>
      <c r="F45" s="19"/>
      <c r="G45" s="19"/>
      <c r="H45" s="19"/>
      <c r="I45" s="19"/>
      <c r="J45" s="19"/>
      <c r="K45" s="19"/>
      <c r="L45" s="19"/>
    </row>
    <row r="46" customFormat="false" ht="30" hidden="false" customHeight="true" outlineLevel="0" collapsed="false">
      <c r="A46" s="19" t="s">
        <v>2203</v>
      </c>
      <c r="B46" s="19"/>
      <c r="C46" s="19"/>
      <c r="D46" s="19"/>
      <c r="E46" s="19"/>
      <c r="F46" s="19"/>
      <c r="G46" s="19"/>
      <c r="H46" s="19"/>
      <c r="I46" s="19"/>
      <c r="J46" s="19"/>
      <c r="K46" s="19"/>
      <c r="L46" s="19"/>
    </row>
    <row r="47" customFormat="false" ht="16.5" hidden="false" customHeight="true" outlineLevel="0" collapsed="false">
      <c r="A47" s="19" t="s">
        <v>2204</v>
      </c>
      <c r="B47" s="19"/>
      <c r="C47" s="19"/>
      <c r="D47" s="19"/>
      <c r="E47" s="19"/>
      <c r="F47" s="19"/>
      <c r="G47" s="19"/>
      <c r="H47" s="19"/>
      <c r="I47" s="19"/>
      <c r="J47" s="19"/>
      <c r="K47" s="19"/>
      <c r="L47" s="19"/>
    </row>
    <row r="48" customFormat="false" ht="16.5" hidden="false" customHeight="true" outlineLevel="0" collapsed="false">
      <c r="A48" s="19" t="s">
        <v>2205</v>
      </c>
      <c r="B48" s="19"/>
      <c r="C48" s="19"/>
      <c r="D48" s="19"/>
      <c r="E48" s="19"/>
      <c r="F48" s="19"/>
      <c r="G48" s="19"/>
      <c r="H48" s="19"/>
      <c r="I48" s="19"/>
      <c r="J48" s="19"/>
      <c r="K48" s="19"/>
      <c r="L48" s="19"/>
    </row>
    <row r="49" customFormat="false" ht="9.75" hidden="false" customHeight="true" outlineLevel="0" collapsed="false"/>
    <row r="50" customFormat="false" ht="19.5" hidden="false" customHeight="true" outlineLevel="0" collapsed="false">
      <c r="A50" s="15" t="s">
        <v>2206</v>
      </c>
      <c r="B50" s="15"/>
      <c r="C50" s="15"/>
      <c r="D50" s="15"/>
      <c r="E50" s="15"/>
      <c r="F50" s="15"/>
      <c r="G50" s="15"/>
      <c r="H50" s="15"/>
      <c r="I50" s="15"/>
      <c r="J50" s="15"/>
      <c r="K50" s="15"/>
      <c r="L50" s="15"/>
    </row>
    <row r="51" customFormat="false" ht="24" hidden="false" customHeight="true" outlineLevel="0" collapsed="false">
      <c r="A51" s="16" t="s">
        <v>1902</v>
      </c>
      <c r="B51" s="16" t="s">
        <v>2086</v>
      </c>
      <c r="C51" s="16" t="s">
        <v>733</v>
      </c>
      <c r="D51" s="16" t="s">
        <v>2184</v>
      </c>
      <c r="E51" s="16" t="s">
        <v>2185</v>
      </c>
      <c r="F51" s="16" t="s">
        <v>725</v>
      </c>
    </row>
    <row r="52" customFormat="false" ht="30" hidden="false" customHeight="true" outlineLevel="0" collapsed="false">
      <c r="A52" s="18" t="s">
        <v>2207</v>
      </c>
      <c r="B52" s="131" t="n">
        <f aca="false">L5</f>
        <v>0.038460610673556</v>
      </c>
      <c r="C52" s="131" t="n">
        <f aca="false">L20</f>
        <v>0.0732527296798336</v>
      </c>
      <c r="D52" s="99" t="n">
        <f aca="false">C52/B52-1</f>
        <v>0.9046169157735</v>
      </c>
      <c r="E52" s="129" t="n">
        <f aca="false">(C52/B52)^(1/15)-1</f>
        <v>0.0438878492690662</v>
      </c>
      <c r="F52" s="17" t="s">
        <v>751</v>
      </c>
    </row>
    <row r="53" customFormat="false" ht="30" hidden="false" customHeight="true" outlineLevel="0" collapsed="false">
      <c r="A53" s="9" t="s">
        <v>2208</v>
      </c>
      <c r="B53" s="130" t="n">
        <f aca="false">B5</f>
        <v>1383929</v>
      </c>
      <c r="C53" s="130" t="n">
        <f aca="false">B20</f>
        <v>2311549</v>
      </c>
      <c r="D53" s="99" t="n">
        <f aca="false">C53/B53-1</f>
        <v>0.67028005049392</v>
      </c>
      <c r="E53" s="129" t="n">
        <f aca="false">(C53/B53)^(1/15)-1</f>
        <v>0.034790944665555</v>
      </c>
      <c r="F53" s="17" t="s">
        <v>735</v>
      </c>
    </row>
    <row r="54" customFormat="false" ht="30" hidden="false" customHeight="true" outlineLevel="0" collapsed="false">
      <c r="A54" s="9" t="s">
        <v>495</v>
      </c>
      <c r="B54" s="130" t="n">
        <f aca="false">E5</f>
        <v>35983022</v>
      </c>
      <c r="C54" s="130" t="n">
        <f aca="false">E20</f>
        <v>31555807</v>
      </c>
      <c r="D54" s="99" t="n">
        <f aca="false">C54/B54-1</f>
        <v>-0.123036219692721</v>
      </c>
      <c r="E54" s="129" t="n">
        <f aca="false">(C54/B54)^(1/15)-1</f>
        <v>-0.00871444629792451</v>
      </c>
      <c r="F54" s="17" t="s">
        <v>735</v>
      </c>
    </row>
    <row r="55" customFormat="false" ht="42" hidden="false" customHeight="true" outlineLevel="0" collapsed="false">
      <c r="A55" s="9" t="s">
        <v>2209</v>
      </c>
      <c r="B55" s="109"/>
      <c r="C55" s="109"/>
      <c r="D55" s="109"/>
      <c r="E55" s="132" t="n">
        <f aca="false">E53/((1+E53)/(1+E54)-1)</f>
        <v>0.792723846007122</v>
      </c>
      <c r="F55" s="17" t="s">
        <v>751</v>
      </c>
    </row>
    <row r="56" customFormat="false" ht="9.75" hidden="false" customHeight="true" outlineLevel="0" collapsed="false"/>
    <row r="57" customFormat="false" ht="30" hidden="false" customHeight="true" outlineLevel="0" collapsed="false">
      <c r="A57" s="19" t="s">
        <v>2210</v>
      </c>
      <c r="B57" s="19"/>
      <c r="C57" s="19"/>
      <c r="D57" s="19"/>
      <c r="E57" s="19"/>
      <c r="F57" s="19"/>
      <c r="G57" s="19"/>
      <c r="H57" s="19"/>
      <c r="I57" s="19"/>
      <c r="J57" s="19"/>
      <c r="K57" s="19"/>
      <c r="L57" s="19"/>
    </row>
    <row r="58" customFormat="false" ht="42" hidden="false" customHeight="true" outlineLevel="0" collapsed="false">
      <c r="A58" s="19" t="s">
        <v>2211</v>
      </c>
      <c r="B58" s="19"/>
      <c r="C58" s="19"/>
      <c r="D58" s="19"/>
      <c r="E58" s="19"/>
      <c r="F58" s="19"/>
      <c r="G58" s="19"/>
      <c r="H58" s="19"/>
      <c r="I58" s="19"/>
      <c r="J58" s="19"/>
      <c r="K58" s="19"/>
      <c r="L58" s="19"/>
    </row>
    <row r="60" customFormat="false" ht="18" hidden="false" customHeight="true" outlineLevel="0" collapsed="false">
      <c r="A60" s="127" t="s">
        <v>2111</v>
      </c>
      <c r="B60" s="127"/>
      <c r="C60" s="127"/>
      <c r="D60" s="127"/>
      <c r="E60" s="127"/>
      <c r="F60" s="127"/>
      <c r="G60" s="127"/>
      <c r="H60" s="127"/>
    </row>
    <row r="61" customFormat="false" ht="15.75" hidden="false" customHeight="true" outlineLevel="0" collapsed="false">
      <c r="A61" s="9" t="s">
        <v>2212</v>
      </c>
      <c r="B61" s="128" t="n">
        <f aca="false">(D21/D5)^(1/16)-1</f>
        <v>0.022787161013258</v>
      </c>
    </row>
    <row r="62" customFormat="false" ht="15.75" hidden="false" customHeight="true" outlineLevel="0" collapsed="false">
      <c r="A62" s="9" t="s">
        <v>2213</v>
      </c>
      <c r="B62" s="128" t="n">
        <f aca="false">(B21/B5)^(1/16)-1</f>
        <v>0.0390482621579265</v>
      </c>
    </row>
    <row r="63" customFormat="false" ht="15.75" hidden="false" customHeight="true" outlineLevel="0" collapsed="false">
      <c r="A63" s="9" t="s">
        <v>2214</v>
      </c>
      <c r="B63" s="128" t="n">
        <f aca="false">(C21/C5)^(1/16)-1</f>
        <v>-0.0175365797428527</v>
      </c>
    </row>
    <row r="64" customFormat="false" ht="15.75" hidden="false" customHeight="true" outlineLevel="0" collapsed="false">
      <c r="A64" s="9" t="s">
        <v>2215</v>
      </c>
      <c r="B64" s="133" t="str">
        <f aca="false">INDEX(A5:A21,MATCH(MAX(D5:D21),D5:D21,0))</f>
        <v>2019</v>
      </c>
    </row>
    <row r="65" customFormat="false" ht="30" hidden="false" customHeight="true" outlineLevel="0" collapsed="false">
      <c r="A65" s="3" t="s">
        <v>2216</v>
      </c>
      <c r="B65" s="3"/>
      <c r="C65" s="3"/>
      <c r="D65" s="3"/>
      <c r="E65" s="3"/>
      <c r="F65" s="3"/>
      <c r="G65" s="3"/>
      <c r="H65" s="3"/>
    </row>
  </sheetData>
  <mergeCells count="11">
    <mergeCell ref="A1:L1"/>
    <mergeCell ref="A2:L2"/>
    <mergeCell ref="A45:L45"/>
    <mergeCell ref="A46:L46"/>
    <mergeCell ref="A47:L47"/>
    <mergeCell ref="A48:L48"/>
    <mergeCell ref="A50:L50"/>
    <mergeCell ref="A57:L57"/>
    <mergeCell ref="A58:L58"/>
    <mergeCell ref="A60:H60"/>
    <mergeCell ref="A65:H65"/>
  </mergeCells>
  <printOptions headings="false" gridLines="false" gridLinesSet="true" horizontalCentered="false" verticalCentered="false"/>
  <pageMargins left="0.75" right="0.75" top="1" bottom="1" header="0.511811023622047" footer="0.511805555555556"/>
  <pageSetup paperSize="5" scale="100" fitToWidth="1" fitToHeight="0" pageOrder="downThenOver" orientation="landscape" blackAndWhite="false" draft="false" cellComments="none" horizontalDpi="300" verticalDpi="300" copies="1"/>
  <headerFooter differentFirst="false" differentOddEven="false">
    <oddHeader/>
    <oddFooter>&amp;L&amp;8 IFT Sourced Evidence Master  |  verified 09 July 2026&amp;R&amp;8 &amp;A  |  page &amp;P of &amp;N</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40"/>
    <col collapsed="false" customWidth="true" hidden="false" outlineLevel="0" max="3" min="3" style="1" width="44"/>
    <col collapsed="false" customWidth="true" hidden="false" outlineLevel="0" max="4" min="4" style="1" width="40"/>
    <col collapsed="false" customWidth="true" hidden="false" outlineLevel="0" max="5" min="5" style="1" width="10"/>
  </cols>
  <sheetData>
    <row r="1" customFormat="false" ht="24" hidden="false" customHeight="true" outlineLevel="0" collapsed="false">
      <c r="A1" s="14" t="s">
        <v>2217</v>
      </c>
      <c r="B1" s="14"/>
      <c r="C1" s="14"/>
      <c r="D1" s="14"/>
      <c r="E1" s="14"/>
    </row>
    <row r="2" customFormat="false" ht="67.5" hidden="false" customHeight="true" outlineLevel="0" collapsed="false">
      <c r="A2" s="3" t="s">
        <v>2218</v>
      </c>
      <c r="B2" s="3"/>
      <c r="C2" s="3"/>
      <c r="D2" s="3"/>
      <c r="E2" s="3"/>
    </row>
    <row r="3" customFormat="false" ht="13.5" hidden="false" customHeight="true" outlineLevel="0" collapsed="false"/>
    <row r="4" customFormat="false" ht="24" hidden="false" customHeight="true" outlineLevel="0" collapsed="false">
      <c r="A4" s="7" t="s">
        <v>2219</v>
      </c>
      <c r="B4" s="7" t="s">
        <v>2220</v>
      </c>
      <c r="C4" s="7" t="s">
        <v>2221</v>
      </c>
      <c r="D4" s="7" t="s">
        <v>2011</v>
      </c>
      <c r="E4" s="7" t="s">
        <v>726</v>
      </c>
    </row>
    <row r="5" customFormat="false" ht="93" hidden="false" customHeight="true" outlineLevel="0" collapsed="false">
      <c r="A5" s="8" t="s">
        <v>2222</v>
      </c>
      <c r="B5" s="9" t="s">
        <v>2223</v>
      </c>
      <c r="C5" s="9" t="s">
        <v>2224</v>
      </c>
      <c r="D5" s="9" t="s">
        <v>2225</v>
      </c>
      <c r="E5" s="9" t="s">
        <v>736</v>
      </c>
    </row>
    <row r="6" customFormat="false" ht="93" hidden="false" customHeight="true" outlineLevel="0" collapsed="false">
      <c r="A6" s="8" t="s">
        <v>2226</v>
      </c>
      <c r="B6" s="9" t="s">
        <v>2227</v>
      </c>
      <c r="C6" s="9" t="s">
        <v>2228</v>
      </c>
      <c r="D6" s="9" t="s">
        <v>2229</v>
      </c>
      <c r="E6" s="9" t="s">
        <v>736</v>
      </c>
    </row>
    <row r="7" customFormat="false" ht="93" hidden="false" customHeight="true" outlineLevel="0" collapsed="false">
      <c r="A7" s="8" t="s">
        <v>2230</v>
      </c>
      <c r="B7" s="9" t="s">
        <v>2231</v>
      </c>
      <c r="C7" s="9" t="s">
        <v>2232</v>
      </c>
      <c r="D7" s="9" t="s">
        <v>2233</v>
      </c>
      <c r="E7" s="9" t="s">
        <v>736</v>
      </c>
    </row>
    <row r="8" customFormat="false" ht="9.75" hidden="false" customHeight="true" outlineLevel="0" collapsed="false"/>
    <row r="9" customFormat="false" ht="67.5" hidden="false" customHeight="true" outlineLevel="0" collapsed="false">
      <c r="A9" s="5" t="s">
        <v>2234</v>
      </c>
      <c r="B9" s="5"/>
      <c r="C9" s="5"/>
      <c r="D9" s="5"/>
      <c r="E9" s="5"/>
    </row>
  </sheetData>
  <mergeCells count="3">
    <mergeCell ref="A1:E1"/>
    <mergeCell ref="A2:E2"/>
    <mergeCell ref="A9:E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F8B"/>
    <pageSetUpPr fitToPage="true"/>
  </sheetPr>
  <dimension ref="A1:J3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17"/>
    <col collapsed="false" customWidth="true" hidden="false" outlineLevel="0" max="3" min="3" style="1" width="19"/>
    <col collapsed="false" customWidth="true" hidden="false" outlineLevel="0" max="4" min="4" style="1" width="16"/>
    <col collapsed="false" customWidth="true" hidden="false" outlineLevel="0" max="5" min="5" style="1" width="18"/>
    <col collapsed="false" customWidth="true" hidden="false" outlineLevel="0" max="6" min="6" style="1" width="16"/>
    <col collapsed="false" customWidth="true" hidden="false" outlineLevel="0" max="8" min="7" style="1" width="18"/>
    <col collapsed="false" customWidth="true" hidden="false" outlineLevel="0" max="9" min="9" style="1" width="15"/>
    <col collapsed="false" customWidth="true" hidden="false" outlineLevel="0" max="10" min="10" style="1" width="14"/>
  </cols>
  <sheetData>
    <row r="1" customFormat="false" ht="24" hidden="false" customHeight="true" outlineLevel="0" collapsed="false">
      <c r="A1" s="14" t="s">
        <v>2235</v>
      </c>
      <c r="B1" s="14"/>
      <c r="C1" s="14"/>
      <c r="D1" s="14"/>
      <c r="E1" s="14"/>
      <c r="F1" s="14"/>
      <c r="G1" s="14"/>
      <c r="H1" s="14"/>
      <c r="I1" s="14"/>
      <c r="J1" s="14"/>
    </row>
    <row r="2" customFormat="false" ht="30" hidden="false" customHeight="true" outlineLevel="0" collapsed="false">
      <c r="A2" s="3" t="s">
        <v>2236</v>
      </c>
      <c r="B2" s="3"/>
      <c r="C2" s="3"/>
      <c r="D2" s="3"/>
      <c r="E2" s="3"/>
      <c r="F2" s="3"/>
      <c r="G2" s="3"/>
      <c r="H2" s="3"/>
      <c r="I2" s="3"/>
      <c r="J2" s="3"/>
    </row>
    <row r="3" customFormat="false" ht="13.5" hidden="false" customHeight="true" outlineLevel="0" collapsed="false"/>
    <row r="4" customFormat="false" ht="33.75" hidden="false" customHeight="true" outlineLevel="0" collapsed="false">
      <c r="A4" s="16" t="s">
        <v>723</v>
      </c>
      <c r="B4" s="16" t="s">
        <v>2237</v>
      </c>
      <c r="C4" s="16" t="s">
        <v>2238</v>
      </c>
      <c r="D4" s="16" t="s">
        <v>2239</v>
      </c>
      <c r="E4" s="16" t="s">
        <v>2240</v>
      </c>
      <c r="F4" s="16" t="s">
        <v>2241</v>
      </c>
      <c r="G4" s="16" t="s">
        <v>2242</v>
      </c>
      <c r="H4" s="16" t="s">
        <v>2243</v>
      </c>
      <c r="I4" s="16" t="s">
        <v>2244</v>
      </c>
      <c r="J4" s="16" t="s">
        <v>2245</v>
      </c>
    </row>
    <row r="5" customFormat="false" ht="15" hidden="false" customHeight="true" outlineLevel="0" collapsed="false">
      <c r="A5" s="124" t="s">
        <v>2086</v>
      </c>
      <c r="B5" s="98" t="n">
        <v>1423280</v>
      </c>
      <c r="C5" s="109"/>
      <c r="D5" s="98" t="n">
        <v>2221083</v>
      </c>
      <c r="E5" s="109"/>
      <c r="F5" s="98" t="n">
        <v>122331739</v>
      </c>
      <c r="G5" s="98" t="n">
        <v>19024006</v>
      </c>
      <c r="H5" s="99" t="n">
        <f aca="false">G5/35983022</f>
        <v>0.528693949051861</v>
      </c>
      <c r="I5" s="98" t="n">
        <v>2184371</v>
      </c>
      <c r="J5" s="129" t="n">
        <f aca="false">I5/F5</f>
        <v>0.0178561264464654</v>
      </c>
    </row>
    <row r="6" customFormat="false" ht="15" hidden="false" customHeight="true" outlineLevel="0" collapsed="false">
      <c r="A6" s="124" t="s">
        <v>2171</v>
      </c>
      <c r="B6" s="98" t="n">
        <v>1399043</v>
      </c>
      <c r="C6" s="98" t="n">
        <v>5025652</v>
      </c>
      <c r="D6" s="98" t="n">
        <v>2517472</v>
      </c>
      <c r="E6" s="105" t="n">
        <f aca="false">B6+C6+D6</f>
        <v>8942167</v>
      </c>
      <c r="F6" s="98" t="n">
        <v>124945264</v>
      </c>
      <c r="G6" s="98" t="n">
        <v>19406101</v>
      </c>
      <c r="H6" s="99" t="n">
        <f aca="false">G6/36334496</f>
        <v>0.534095780494657</v>
      </c>
      <c r="I6" s="98" t="n">
        <v>870772</v>
      </c>
      <c r="J6" s="129" t="n">
        <f aca="false">I6/F6</f>
        <v>0.00696922774119714</v>
      </c>
    </row>
    <row r="7" customFormat="false" ht="15" hidden="false" customHeight="true" outlineLevel="0" collapsed="false">
      <c r="A7" s="124" t="s">
        <v>2172</v>
      </c>
      <c r="B7" s="98" t="n">
        <v>1495461</v>
      </c>
      <c r="C7" s="98" t="n">
        <v>4984031</v>
      </c>
      <c r="D7" s="98" t="n">
        <v>2741505</v>
      </c>
      <c r="E7" s="105" t="n">
        <f aca="false">B7+C7+D7</f>
        <v>9220997</v>
      </c>
      <c r="F7" s="98" t="n">
        <v>128885040</v>
      </c>
      <c r="G7" s="98" t="n">
        <v>19592545</v>
      </c>
      <c r="H7" s="99" t="n">
        <f aca="false">G7/35986320</f>
        <v>0.544444249926083</v>
      </c>
      <c r="I7" s="98" t="n">
        <v>575022</v>
      </c>
      <c r="J7" s="129" t="n">
        <f aca="false">I7/F7</f>
        <v>0.00446151081615058</v>
      </c>
    </row>
    <row r="8" customFormat="false" ht="15" hidden="false" customHeight="true" outlineLevel="0" collapsed="false">
      <c r="A8" s="124" t="s">
        <v>1062</v>
      </c>
      <c r="B8" s="98" t="n">
        <v>1282799</v>
      </c>
      <c r="C8" s="98" t="n">
        <v>5091272</v>
      </c>
      <c r="D8" s="98" t="n">
        <v>2778109</v>
      </c>
      <c r="E8" s="105" t="n">
        <f aca="false">B8+C8+D8</f>
        <v>9152180</v>
      </c>
      <c r="F8" s="98" t="n">
        <v>128970364</v>
      </c>
      <c r="G8" s="98" t="n">
        <v>19733530</v>
      </c>
      <c r="H8" s="99" t="n">
        <f aca="false">G8/35672276</f>
        <v>0.553189541368204</v>
      </c>
      <c r="I8" s="98" t="n">
        <v>405898</v>
      </c>
      <c r="J8" s="129" t="n">
        <f aca="false">I8/F8</f>
        <v>0.00314721915493702</v>
      </c>
    </row>
    <row r="9" customFormat="false" ht="15" hidden="false" customHeight="true" outlineLevel="0" collapsed="false">
      <c r="A9" s="124" t="s">
        <v>2173</v>
      </c>
      <c r="B9" s="98" t="n">
        <v>1405614</v>
      </c>
      <c r="C9" s="98" t="n">
        <v>5352595</v>
      </c>
      <c r="D9" s="98" t="n">
        <v>2826982</v>
      </c>
      <c r="E9" s="105" t="n">
        <f aca="false">B9+C9+D9</f>
        <v>9585191</v>
      </c>
      <c r="F9" s="98" t="n">
        <v>131048605</v>
      </c>
      <c r="G9" s="98" t="n">
        <v>19627277</v>
      </c>
      <c r="H9" s="99" t="n">
        <f aca="false">G9/35350087</f>
        <v>0.555225705667995</v>
      </c>
      <c r="I9" s="98" t="n">
        <v>225478</v>
      </c>
      <c r="J9" s="129" t="n">
        <f aca="false">I9/F9</f>
        <v>0.00172056772370831</v>
      </c>
    </row>
    <row r="10" customFormat="false" ht="15" hidden="false" customHeight="true" outlineLevel="0" collapsed="false">
      <c r="A10" s="124" t="s">
        <v>778</v>
      </c>
      <c r="B10" s="98" t="n">
        <v>1536770</v>
      </c>
      <c r="C10" s="98" t="n">
        <v>4855040</v>
      </c>
      <c r="D10" s="98" t="n">
        <v>2899893</v>
      </c>
      <c r="E10" s="105" t="n">
        <f aca="false">B10+C10+D10</f>
        <v>9291703</v>
      </c>
      <c r="F10" s="98" t="n">
        <v>134399179</v>
      </c>
      <c r="G10" s="98" t="n">
        <v>19070684</v>
      </c>
      <c r="H10" s="99" t="n">
        <f aca="false">G10/34828778</f>
        <v>0.547555357813587</v>
      </c>
      <c r="I10" s="98" t="n">
        <v>155409</v>
      </c>
      <c r="J10" s="129" t="n">
        <f aca="false">I10/F10</f>
        <v>0.00115632402784246</v>
      </c>
    </row>
    <row r="11" customFormat="false" ht="15" hidden="false" customHeight="true" outlineLevel="0" collapsed="false">
      <c r="A11" s="124" t="s">
        <v>2176</v>
      </c>
      <c r="B11" s="98" t="n">
        <v>1629264</v>
      </c>
      <c r="C11" s="98" t="n">
        <v>4864292</v>
      </c>
      <c r="D11" s="98" t="n">
        <v>2754782</v>
      </c>
      <c r="E11" s="105" t="n">
        <f aca="false">B11+C11+D11</f>
        <v>9248338</v>
      </c>
      <c r="F11" s="98" t="n">
        <v>134869015</v>
      </c>
      <c r="G11" s="98" t="n">
        <v>19255862</v>
      </c>
      <c r="H11" s="99" t="n">
        <f aca="false">G11/34062869</f>
        <v>0.565303586142436</v>
      </c>
      <c r="I11" s="98" t="n">
        <v>206925</v>
      </c>
      <c r="J11" s="129" t="n">
        <f aca="false">I11/F11</f>
        <v>0.0015342664139721</v>
      </c>
    </row>
    <row r="12" customFormat="false" ht="15" hidden="false" customHeight="true" outlineLevel="0" collapsed="false">
      <c r="A12" s="124" t="s">
        <v>2177</v>
      </c>
      <c r="B12" s="98" t="n">
        <v>1757684</v>
      </c>
      <c r="C12" s="98" t="n">
        <v>4909462</v>
      </c>
      <c r="D12" s="98" t="n">
        <v>2754423</v>
      </c>
      <c r="E12" s="105" t="n">
        <f aca="false">B12+C12+D12</f>
        <v>9421569</v>
      </c>
      <c r="F12" s="98" t="n">
        <v>137807901</v>
      </c>
      <c r="G12" s="98" t="n">
        <v>19435011</v>
      </c>
      <c r="H12" s="99" t="n">
        <f aca="false">G12/33516951</f>
        <v>0.579856174865071</v>
      </c>
      <c r="I12" s="98" t="n">
        <v>208262</v>
      </c>
      <c r="J12" s="129" t="n">
        <f aca="false">I12/F12</f>
        <v>0.00151124861846637</v>
      </c>
    </row>
    <row r="13" customFormat="false" ht="15" hidden="false" customHeight="true" outlineLevel="0" collapsed="false">
      <c r="A13" s="124" t="s">
        <v>2178</v>
      </c>
      <c r="B13" s="98" t="n">
        <v>1727535</v>
      </c>
      <c r="C13" s="98" t="n">
        <v>4994845</v>
      </c>
      <c r="D13" s="98" t="n">
        <v>2741420</v>
      </c>
      <c r="E13" s="105" t="n">
        <f aca="false">B13+C13+D13</f>
        <v>9463800</v>
      </c>
      <c r="F13" s="98" t="n">
        <v>143469670</v>
      </c>
      <c r="G13" s="98" t="n">
        <v>19523512</v>
      </c>
      <c r="H13" s="99" t="n">
        <f aca="false">G13/33817285</f>
        <v>0.577323460472951</v>
      </c>
      <c r="I13" s="98" t="n">
        <v>11319342</v>
      </c>
      <c r="J13" s="129" t="n">
        <f aca="false">I13/F13</f>
        <v>0.0788971076604553</v>
      </c>
    </row>
    <row r="14" customFormat="false" ht="15" hidden="false" customHeight="true" outlineLevel="0" collapsed="false">
      <c r="A14" s="124" t="s">
        <v>866</v>
      </c>
      <c r="B14" s="98" t="n">
        <v>1783777</v>
      </c>
      <c r="C14" s="98" t="n">
        <v>4961066</v>
      </c>
      <c r="D14" s="98" t="n">
        <v>3059001</v>
      </c>
      <c r="E14" s="105" t="n">
        <f aca="false">B14+C14+D14</f>
        <v>9803844</v>
      </c>
      <c r="F14" s="98" t="n">
        <v>144842742</v>
      </c>
      <c r="G14" s="98" t="n">
        <v>18955851</v>
      </c>
      <c r="H14" s="99" t="n">
        <f aca="false">G14/34031587</f>
        <v>0.557007553012441</v>
      </c>
      <c r="I14" s="98" t="n">
        <v>236114</v>
      </c>
      <c r="J14" s="129" t="n">
        <f aca="false">I14/F14</f>
        <v>0.00163014036284952</v>
      </c>
    </row>
    <row r="15" customFormat="false" ht="15" hidden="false" customHeight="true" outlineLevel="0" collapsed="false">
      <c r="A15" s="124" t="s">
        <v>1057</v>
      </c>
      <c r="B15" s="98" t="n">
        <v>1983706</v>
      </c>
      <c r="C15" s="98" t="n">
        <v>5009823</v>
      </c>
      <c r="D15" s="98" t="n">
        <v>3039299</v>
      </c>
      <c r="E15" s="105" t="n">
        <f aca="false">B15+C15+D15</f>
        <v>10032828</v>
      </c>
      <c r="F15" s="98" t="n">
        <v>144814803</v>
      </c>
      <c r="G15" s="98" t="n">
        <v>20241628</v>
      </c>
      <c r="H15" s="99" t="n">
        <f aca="false">G15/34305620</f>
        <v>0.590038250292518</v>
      </c>
      <c r="I15" s="98" t="n">
        <v>301722</v>
      </c>
      <c r="J15" s="129" t="n">
        <f aca="false">I15/F15</f>
        <v>0.00208350247177424</v>
      </c>
    </row>
    <row r="16" customFormat="false" ht="15" hidden="false" customHeight="true" outlineLevel="0" collapsed="false">
      <c r="A16" s="124" t="s">
        <v>1153</v>
      </c>
      <c r="B16" s="98" t="n">
        <v>2070859</v>
      </c>
      <c r="C16" s="98" t="n">
        <v>4996799</v>
      </c>
      <c r="D16" s="98" t="n">
        <v>2997175</v>
      </c>
      <c r="E16" s="105" t="n">
        <f aca="false">B16+C16+D16</f>
        <v>10064833</v>
      </c>
      <c r="F16" s="98" t="n">
        <v>143454430</v>
      </c>
      <c r="G16" s="98" t="n">
        <v>20061853</v>
      </c>
      <c r="H16" s="99" t="n">
        <f aca="false">G16/34251159</f>
        <v>0.585727712162967</v>
      </c>
      <c r="I16" s="98" t="n">
        <v>162925</v>
      </c>
      <c r="J16" s="129" t="n">
        <f aca="false">I16/F16</f>
        <v>0.00113572651607901</v>
      </c>
    </row>
    <row r="17" customFormat="false" ht="15" hidden="false" customHeight="true" outlineLevel="0" collapsed="false">
      <c r="A17" s="124" t="s">
        <v>844</v>
      </c>
      <c r="B17" s="98" t="n">
        <v>2081843</v>
      </c>
      <c r="C17" s="98" t="n">
        <v>4969869</v>
      </c>
      <c r="D17" s="98" t="n">
        <v>3234266</v>
      </c>
      <c r="E17" s="105" t="n">
        <f aca="false">B17+C17+D17</f>
        <v>10285978</v>
      </c>
      <c r="F17" s="98" t="n">
        <v>143432284</v>
      </c>
      <c r="G17" s="98" t="n">
        <v>20373534</v>
      </c>
      <c r="H17" s="99" t="n">
        <f aca="false">G17/34078100</f>
        <v>0.597848295532908</v>
      </c>
      <c r="I17" s="98" t="n">
        <v>74489</v>
      </c>
      <c r="J17" s="129" t="n">
        <f aca="false">I17/F17</f>
        <v>0.000519332174895855</v>
      </c>
    </row>
    <row r="18" customFormat="false" ht="15" hidden="false" customHeight="true" outlineLevel="0" collapsed="false">
      <c r="A18" s="124" t="s">
        <v>1862</v>
      </c>
      <c r="B18" s="98" t="n">
        <v>2007356</v>
      </c>
      <c r="C18" s="98" t="n">
        <v>4103765</v>
      </c>
      <c r="D18" s="98" t="n">
        <v>3002569</v>
      </c>
      <c r="E18" s="105" t="n">
        <f aca="false">B18+C18+D18</f>
        <v>9113690</v>
      </c>
      <c r="F18" s="98" t="n">
        <v>123278165</v>
      </c>
      <c r="G18" s="98" t="n">
        <v>20091310</v>
      </c>
      <c r="H18" s="99" t="n">
        <f aca="false">G18/31393318</f>
        <v>0.639986827770164</v>
      </c>
      <c r="I18" s="98" t="n">
        <v>72763</v>
      </c>
      <c r="J18" s="129" t="n">
        <f aca="false">I18/F18</f>
        <v>0.000590234288448405</v>
      </c>
    </row>
    <row r="19" customFormat="false" ht="15" hidden="false" customHeight="true" outlineLevel="0" collapsed="false">
      <c r="A19" s="124" t="s">
        <v>1163</v>
      </c>
      <c r="B19" s="98" t="n">
        <v>1933319</v>
      </c>
      <c r="C19" s="98" t="n">
        <v>4292030</v>
      </c>
      <c r="D19" s="98" t="n">
        <v>2954527</v>
      </c>
      <c r="E19" s="105" t="n">
        <f aca="false">B19+C19+D19</f>
        <v>9179876</v>
      </c>
      <c r="F19" s="98" t="n">
        <v>126968321</v>
      </c>
      <c r="G19" s="98" t="n">
        <v>19607517</v>
      </c>
      <c r="H19" s="99" t="n">
        <f aca="false">G19/31967073</f>
        <v>0.613366040738231</v>
      </c>
      <c r="I19" s="98" t="n">
        <v>153421</v>
      </c>
      <c r="J19" s="129" t="n">
        <f aca="false">I19/F19</f>
        <v>0.00120834077974458</v>
      </c>
    </row>
    <row r="20" customFormat="false" ht="15" hidden="false" customHeight="true" outlineLevel="0" collapsed="false">
      <c r="A20" s="124" t="s">
        <v>733</v>
      </c>
      <c r="B20" s="98" t="n">
        <v>2108209</v>
      </c>
      <c r="C20" s="98" t="n">
        <v>4400844</v>
      </c>
      <c r="D20" s="98" t="n">
        <v>2929273</v>
      </c>
      <c r="E20" s="105" t="n">
        <f aca="false">B20+C20+D20</f>
        <v>9438326</v>
      </c>
      <c r="F20" s="98" t="n">
        <v>136974618</v>
      </c>
      <c r="G20" s="98" t="n">
        <v>20031450</v>
      </c>
      <c r="H20" s="99" t="n">
        <f aca="false">G20/31555807</f>
        <v>0.634794413592402</v>
      </c>
      <c r="I20" s="98" t="n">
        <v>232973</v>
      </c>
      <c r="J20" s="129" t="n">
        <f aca="false">I20/F20</f>
        <v>0.00170084796294157</v>
      </c>
    </row>
    <row r="21" customFormat="false" ht="15" hidden="false" customHeight="true" outlineLevel="0" collapsed="false">
      <c r="A21" s="124" t="s">
        <v>741</v>
      </c>
      <c r="B21" s="98" t="n">
        <v>2226601</v>
      </c>
      <c r="C21" s="98" t="n">
        <v>4637691</v>
      </c>
      <c r="D21" s="98" t="n">
        <v>3185144</v>
      </c>
      <c r="E21" s="105" t="n">
        <f aca="false">B21+C21+D21</f>
        <v>10049436</v>
      </c>
      <c r="F21" s="98" t="n">
        <v>142193558</v>
      </c>
      <c r="G21" s="98" t="n">
        <v>20973122</v>
      </c>
      <c r="H21" s="99" t="n">
        <f aca="false">G21/32345846</f>
        <v>0.648402332713759</v>
      </c>
      <c r="I21" s="98" t="n">
        <v>238268</v>
      </c>
      <c r="J21" s="129" t="n">
        <f aca="false">I21/F21</f>
        <v>0.00167565959633699</v>
      </c>
    </row>
    <row r="22" customFormat="false" ht="9.75" hidden="false" customHeight="true" outlineLevel="0" collapsed="false"/>
    <row r="23" customFormat="false" ht="24" hidden="false" customHeight="true" outlineLevel="0" collapsed="false">
      <c r="A23" s="16" t="s">
        <v>1902</v>
      </c>
      <c r="B23" s="16" t="s">
        <v>581</v>
      </c>
      <c r="C23" s="16" t="s">
        <v>725</v>
      </c>
      <c r="D23" s="16" t="s">
        <v>1947</v>
      </c>
    </row>
    <row r="24" customFormat="false" ht="268.5" hidden="false" customHeight="true" outlineLevel="0" collapsed="false">
      <c r="A24" s="18" t="s">
        <v>2246</v>
      </c>
      <c r="B24" s="105" t="n">
        <f aca="false">B20+C20</f>
        <v>6509053</v>
      </c>
      <c r="C24" s="17" t="s">
        <v>751</v>
      </c>
      <c r="D24" s="18" t="s">
        <v>2247</v>
      </c>
    </row>
    <row r="25" customFormat="false" ht="67.5" hidden="false" customHeight="true" outlineLevel="0" collapsed="false">
      <c r="A25" s="9" t="s">
        <v>2248</v>
      </c>
      <c r="B25" s="130" t="n">
        <f aca="false">E20</f>
        <v>9438326</v>
      </c>
      <c r="C25" s="17" t="s">
        <v>751</v>
      </c>
      <c r="D25" s="18" t="s">
        <v>2249</v>
      </c>
    </row>
    <row r="26" customFormat="false" ht="130.5" hidden="false" customHeight="true" outlineLevel="0" collapsed="false">
      <c r="A26" s="18" t="s">
        <v>2250</v>
      </c>
      <c r="B26" s="121" t="n">
        <f aca="false">H5</f>
        <v>0.528693949051861</v>
      </c>
      <c r="C26" s="17" t="s">
        <v>751</v>
      </c>
      <c r="D26" s="18" t="s">
        <v>2251</v>
      </c>
    </row>
    <row r="27" customFormat="false" ht="205.5" hidden="false" customHeight="true" outlineLevel="0" collapsed="false">
      <c r="A27" s="18" t="s">
        <v>2252</v>
      </c>
      <c r="B27" s="121" t="n">
        <f aca="false">H20</f>
        <v>0.634794413592402</v>
      </c>
      <c r="C27" s="17" t="s">
        <v>751</v>
      </c>
      <c r="D27" s="18" t="s">
        <v>2253</v>
      </c>
    </row>
    <row r="28" customFormat="false" ht="9.75" hidden="false" customHeight="true" outlineLevel="0" collapsed="false"/>
    <row r="29" customFormat="false" ht="30" hidden="false" customHeight="true" outlineLevel="0" collapsed="false">
      <c r="A29" s="19" t="s">
        <v>2254</v>
      </c>
      <c r="B29" s="19"/>
      <c r="C29" s="19"/>
      <c r="D29" s="19"/>
      <c r="E29" s="19"/>
      <c r="F29" s="19"/>
      <c r="G29" s="19"/>
      <c r="H29" s="19"/>
      <c r="I29" s="19"/>
      <c r="J29" s="19"/>
    </row>
    <row r="30" customFormat="false" ht="30" hidden="false" customHeight="true" outlineLevel="0" collapsed="false">
      <c r="A30" s="19" t="s">
        <v>2255</v>
      </c>
      <c r="B30" s="19"/>
      <c r="C30" s="19"/>
      <c r="D30" s="19"/>
      <c r="E30" s="19"/>
      <c r="F30" s="19"/>
      <c r="G30" s="19"/>
      <c r="H30" s="19"/>
      <c r="I30" s="19"/>
      <c r="J30" s="19"/>
    </row>
    <row r="31" customFormat="false" ht="16.5" hidden="false" customHeight="true" outlineLevel="0" collapsed="false">
      <c r="A31" s="19" t="s">
        <v>2256</v>
      </c>
      <c r="B31" s="19"/>
      <c r="C31" s="19"/>
      <c r="D31" s="19"/>
      <c r="E31" s="19"/>
      <c r="F31" s="19"/>
      <c r="G31" s="19"/>
      <c r="H31" s="19"/>
      <c r="I31" s="19"/>
      <c r="J31" s="19"/>
    </row>
  </sheetData>
  <mergeCells count="5">
    <mergeCell ref="A1:J1"/>
    <mergeCell ref="A2:J2"/>
    <mergeCell ref="A29:J29"/>
    <mergeCell ref="A30:J30"/>
    <mergeCell ref="A31:J31"/>
  </mergeCells>
  <printOptions headings="false" gridLines="false" gridLinesSet="true" horizontalCentered="false" verticalCentered="false"/>
  <pageMargins left="0.75" right="0.75" top="1" bottom="1" header="0.511811023622047" footer="0.511805555555556"/>
  <pageSetup paperSize="5" scale="100" fitToWidth="1" fitToHeight="0" pageOrder="downThenOver" orientation="landscape" blackAndWhite="false" draft="false" cellComments="none" horizontalDpi="300" verticalDpi="300" copies="1"/>
  <headerFooter differentFirst="false" differentOddEven="false">
    <oddHeader/>
    <oddFooter>&amp;L&amp;8 IFT Sourced Evidence Master  |  verified 09 July 2026&amp;R&amp;8 &amp;A  |  page &amp;P of &amp;N</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F8B"/>
    <pageSetUpPr fitToPage="true"/>
  </sheetPr>
  <dimension ref="A1:L26"/>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3" min="2" style="1" width="16"/>
    <col collapsed="false" customWidth="true" hidden="false" outlineLevel="0" max="4" min="4" style="1" width="22"/>
    <col collapsed="false" customWidth="true" hidden="false" outlineLevel="0" max="5" min="5" style="1" width="52"/>
    <col collapsed="false" customWidth="true" hidden="false" outlineLevel="0" max="6" min="6" style="1" width="13"/>
    <col collapsed="false" customWidth="true" hidden="false" outlineLevel="0" max="7" min="7" style="1" width="14"/>
    <col collapsed="false" customWidth="true" hidden="false" outlineLevel="0" max="10" min="8" style="1" width="15"/>
    <col collapsed="false" customWidth="true" hidden="false" outlineLevel="0" max="11" min="11" style="1" width="12"/>
    <col collapsed="false" customWidth="true" hidden="false" outlineLevel="0" max="12" min="12" style="1" width="50"/>
  </cols>
  <sheetData>
    <row r="1" customFormat="false" ht="24" hidden="false" customHeight="true" outlineLevel="0" collapsed="false">
      <c r="A1" s="14" t="s">
        <v>2257</v>
      </c>
      <c r="B1" s="14"/>
      <c r="C1" s="14"/>
      <c r="D1" s="14"/>
      <c r="E1" s="14"/>
      <c r="F1" s="14"/>
      <c r="G1" s="14"/>
      <c r="H1" s="14"/>
      <c r="I1" s="14"/>
      <c r="J1" s="14"/>
      <c r="K1" s="14"/>
      <c r="L1" s="14"/>
    </row>
    <row r="2" customFormat="false" ht="30" hidden="false" customHeight="true" outlineLevel="0" collapsed="false">
      <c r="A2" s="3" t="s">
        <v>2258</v>
      </c>
      <c r="B2" s="3"/>
      <c r="C2" s="3"/>
      <c r="D2" s="3"/>
      <c r="E2" s="3"/>
      <c r="F2" s="3"/>
      <c r="G2" s="3"/>
      <c r="H2" s="3"/>
      <c r="I2" s="3"/>
      <c r="J2" s="3"/>
      <c r="K2" s="3"/>
      <c r="L2" s="3"/>
    </row>
    <row r="3" customFormat="false" ht="13.5" hidden="false" customHeight="true" outlineLevel="0" collapsed="false"/>
    <row r="4" customFormat="false" ht="33.75" hidden="false" customHeight="true" outlineLevel="0" collapsed="false">
      <c r="A4" s="16" t="s">
        <v>723</v>
      </c>
      <c r="B4" s="16" t="s">
        <v>2259</v>
      </c>
      <c r="C4" s="16" t="s">
        <v>2260</v>
      </c>
      <c r="D4" s="16" t="s">
        <v>2261</v>
      </c>
      <c r="E4" s="16" t="s">
        <v>2262</v>
      </c>
      <c r="F4" s="16" t="s">
        <v>2263</v>
      </c>
      <c r="G4" s="16" t="s">
        <v>2264</v>
      </c>
      <c r="H4" s="16" t="s">
        <v>2265</v>
      </c>
      <c r="I4" s="16" t="s">
        <v>2266</v>
      </c>
      <c r="J4" s="16" t="s">
        <v>2267</v>
      </c>
      <c r="K4" s="16" t="s">
        <v>2165</v>
      </c>
      <c r="L4" s="16" t="s">
        <v>2166</v>
      </c>
    </row>
    <row r="5" customFormat="false" ht="15" hidden="false" customHeight="true" outlineLevel="0" collapsed="false">
      <c r="A5" s="124" t="s">
        <v>778</v>
      </c>
      <c r="B5" s="98" t="n">
        <v>2899893</v>
      </c>
      <c r="C5" s="98" t="n">
        <v>1657531</v>
      </c>
      <c r="D5" s="99" t="n">
        <f aca="false">C5/B5</f>
        <v>0.571583503253396</v>
      </c>
      <c r="E5" s="98" t="n">
        <v>860365</v>
      </c>
      <c r="F5" s="105" t="n">
        <f aca="false">C5+E5</f>
        <v>2517896</v>
      </c>
      <c r="G5" s="98" t="n">
        <v>36484846</v>
      </c>
      <c r="H5" s="98" t="n">
        <v>34828778</v>
      </c>
      <c r="I5" s="129" t="n">
        <f aca="false">C5/G5</f>
        <v>0.045430670037637</v>
      </c>
      <c r="J5" s="129" t="n">
        <f aca="false">C5/H5</f>
        <v>0.0475908457081095</v>
      </c>
      <c r="K5" s="97" t="s">
        <v>2174</v>
      </c>
      <c r="L5" s="106"/>
    </row>
    <row r="6" customFormat="false" ht="15" hidden="false" customHeight="true" outlineLevel="0" collapsed="false">
      <c r="A6" s="124" t="s">
        <v>2176</v>
      </c>
      <c r="B6" s="98" t="n">
        <v>2754782</v>
      </c>
      <c r="C6" s="98" t="n">
        <v>1709539</v>
      </c>
      <c r="D6" s="99" t="n">
        <f aca="false">C6/B6</f>
        <v>0.620571428156566</v>
      </c>
      <c r="E6" s="98" t="n">
        <v>795145</v>
      </c>
      <c r="F6" s="105" t="n">
        <f aca="false">C6+E6</f>
        <v>2504684</v>
      </c>
      <c r="G6" s="98" t="n">
        <v>35597792</v>
      </c>
      <c r="H6" s="98" t="n">
        <v>34062869</v>
      </c>
      <c r="I6" s="129" t="n">
        <f aca="false">C6/G6</f>
        <v>0.048023736977844</v>
      </c>
      <c r="J6" s="129" t="n">
        <f aca="false">C6/H6</f>
        <v>0.0501877572320758</v>
      </c>
      <c r="K6" s="97" t="s">
        <v>2174</v>
      </c>
      <c r="L6" s="106"/>
    </row>
    <row r="7" customFormat="false" ht="15" hidden="false" customHeight="true" outlineLevel="0" collapsed="false">
      <c r="A7" s="124" t="s">
        <v>2177</v>
      </c>
      <c r="B7" s="98" t="n">
        <v>2754423</v>
      </c>
      <c r="C7" s="98" t="n">
        <v>1772540</v>
      </c>
      <c r="D7" s="99" t="n">
        <f aca="false">C7/B7</f>
        <v>0.643524977826572</v>
      </c>
      <c r="E7" s="98" t="n">
        <v>768881</v>
      </c>
      <c r="F7" s="105" t="n">
        <f aca="false">C7+E7</f>
        <v>2541421</v>
      </c>
      <c r="G7" s="98" t="n">
        <v>35358817</v>
      </c>
      <c r="H7" s="98" t="n">
        <v>33516951</v>
      </c>
      <c r="I7" s="129" t="n">
        <f aca="false">C7/G7</f>
        <v>0.0501300708109098</v>
      </c>
      <c r="J7" s="129" t="n">
        <f aca="false">C7/H7</f>
        <v>0.0528848820407322</v>
      </c>
      <c r="K7" s="97" t="s">
        <v>2174</v>
      </c>
      <c r="L7" s="106"/>
    </row>
    <row r="8" customFormat="false" ht="15" hidden="false" customHeight="true" outlineLevel="0" collapsed="false">
      <c r="A8" s="124" t="s">
        <v>2178</v>
      </c>
      <c r="B8" s="98" t="n">
        <v>2741420</v>
      </c>
      <c r="C8" s="98" t="n">
        <v>1858455</v>
      </c>
      <c r="D8" s="99" t="n">
        <f aca="false">C8/B8</f>
        <v>0.677916918969001</v>
      </c>
      <c r="E8" s="98" t="n">
        <v>756605</v>
      </c>
      <c r="F8" s="105" t="n">
        <f aca="false">C8+E8</f>
        <v>2615060</v>
      </c>
      <c r="G8" s="98" t="n">
        <v>35769942</v>
      </c>
      <c r="H8" s="98" t="n">
        <v>33817285</v>
      </c>
      <c r="I8" s="129" t="n">
        <f aca="false">C8/G8</f>
        <v>0.0519557733697192</v>
      </c>
      <c r="J8" s="129" t="n">
        <f aca="false">C8/H8</f>
        <v>0.0549557718781978</v>
      </c>
      <c r="K8" s="97" t="s">
        <v>2174</v>
      </c>
      <c r="L8" s="106"/>
    </row>
    <row r="9" customFormat="false" ht="15" hidden="false" customHeight="true" outlineLevel="0" collapsed="false">
      <c r="A9" s="124" t="s">
        <v>866</v>
      </c>
      <c r="B9" s="98" t="n">
        <v>3059001</v>
      </c>
      <c r="C9" s="98" t="n">
        <v>1938555</v>
      </c>
      <c r="D9" s="99" t="n">
        <f aca="false">C9/B9</f>
        <v>0.633721597345016</v>
      </c>
      <c r="E9" s="98" t="n">
        <v>754370</v>
      </c>
      <c r="F9" s="105" t="n">
        <f aca="false">C9+E9</f>
        <v>2692925</v>
      </c>
      <c r="G9" s="98" t="n">
        <v>35675421</v>
      </c>
      <c r="H9" s="98" t="n">
        <v>34031587</v>
      </c>
      <c r="I9" s="129" t="n">
        <f aca="false">C9/G9</f>
        <v>0.0543386719949289</v>
      </c>
      <c r="J9" s="129" t="n">
        <f aca="false">C9/H9</f>
        <v>0.0569634028527673</v>
      </c>
      <c r="K9" s="97" t="s">
        <v>2174</v>
      </c>
      <c r="L9" s="106"/>
    </row>
    <row r="10" customFormat="false" ht="54.75" hidden="false" customHeight="true" outlineLevel="0" collapsed="false">
      <c r="A10" s="124" t="s">
        <v>1057</v>
      </c>
      <c r="B10" s="98" t="n">
        <v>3039299</v>
      </c>
      <c r="C10" s="98" t="n">
        <v>2149544</v>
      </c>
      <c r="D10" s="99" t="n">
        <f aca="false">C10/B10</f>
        <v>0.70724992835519</v>
      </c>
      <c r="E10" s="98" t="n">
        <v>1218390</v>
      </c>
      <c r="F10" s="105" t="n">
        <f aca="false">C10+E10</f>
        <v>3367934</v>
      </c>
      <c r="G10" s="98" t="n">
        <v>35798453</v>
      </c>
      <c r="H10" s="98" t="n">
        <v>34305620</v>
      </c>
      <c r="I10" s="129" t="n">
        <f aca="false">C10/G10</f>
        <v>0.0600457232048547</v>
      </c>
      <c r="J10" s="129" t="n">
        <f aca="false">C10/H10</f>
        <v>0.062658654762689</v>
      </c>
      <c r="K10" s="97" t="s">
        <v>2169</v>
      </c>
      <c r="L10" s="18" t="s">
        <v>2268</v>
      </c>
    </row>
    <row r="11" customFormat="false" ht="15" hidden="false" customHeight="true" outlineLevel="0" collapsed="false">
      <c r="A11" s="124" t="s">
        <v>1153</v>
      </c>
      <c r="B11" s="98" t="n">
        <v>2997175</v>
      </c>
      <c r="C11" s="98" t="n">
        <v>2273770</v>
      </c>
      <c r="D11" s="99" t="n">
        <f aca="false">C11/B11</f>
        <v>0.758637717183681</v>
      </c>
      <c r="E11" s="98" t="n">
        <v>1218345</v>
      </c>
      <c r="F11" s="105" t="n">
        <f aca="false">C11+E11</f>
        <v>3492115</v>
      </c>
      <c r="G11" s="98" t="n">
        <v>35527481</v>
      </c>
      <c r="H11" s="98" t="n">
        <v>34251159</v>
      </c>
      <c r="I11" s="129" t="n">
        <f aca="false">C11/G11</f>
        <v>0.0640003156992752</v>
      </c>
      <c r="J11" s="129" t="n">
        <f aca="false">C11/H11</f>
        <v>0.0663851988191115</v>
      </c>
      <c r="K11" s="97" t="s">
        <v>2174</v>
      </c>
      <c r="L11" s="106"/>
    </row>
    <row r="12" customFormat="false" ht="15" hidden="false" customHeight="true" outlineLevel="0" collapsed="false">
      <c r="A12" s="124" t="s">
        <v>844</v>
      </c>
      <c r="B12" s="98" t="n">
        <v>3234266</v>
      </c>
      <c r="C12" s="98" t="n">
        <v>2357650</v>
      </c>
      <c r="D12" s="99" t="n">
        <f aca="false">C12/B12</f>
        <v>0.728959831998976</v>
      </c>
      <c r="E12" s="98" t="n">
        <v>1261569</v>
      </c>
      <c r="F12" s="105" t="n">
        <f aca="false">C12+E12</f>
        <v>3619219</v>
      </c>
      <c r="G12" s="98" t="n">
        <v>35419022</v>
      </c>
      <c r="H12" s="98" t="n">
        <v>34078100</v>
      </c>
      <c r="I12" s="129" t="n">
        <f aca="false">C12/G12</f>
        <v>0.0665645144013293</v>
      </c>
      <c r="J12" s="129" t="n">
        <f aca="false">C12/H12</f>
        <v>0.0691837279660545</v>
      </c>
      <c r="K12" s="97" t="s">
        <v>2174</v>
      </c>
      <c r="L12" s="106"/>
    </row>
    <row r="13" customFormat="false" ht="15" hidden="false" customHeight="true" outlineLevel="0" collapsed="false">
      <c r="A13" s="124" t="s">
        <v>1862</v>
      </c>
      <c r="B13" s="98" t="n">
        <v>3002569</v>
      </c>
      <c r="C13" s="98" t="n">
        <v>2212964</v>
      </c>
      <c r="D13" s="99" t="n">
        <f aca="false">C13/B13</f>
        <v>0.73702352885146</v>
      </c>
      <c r="E13" s="98" t="n">
        <v>1212685</v>
      </c>
      <c r="F13" s="105" t="n">
        <f aca="false">C13+E13</f>
        <v>3425649</v>
      </c>
      <c r="G13" s="98" t="n">
        <v>32355826</v>
      </c>
      <c r="H13" s="98" t="n">
        <v>31393318</v>
      </c>
      <c r="I13" s="129" t="n">
        <f aca="false">C13/G13</f>
        <v>0.0683946068939795</v>
      </c>
      <c r="J13" s="129" t="n">
        <f aca="false">C13/H13</f>
        <v>0.0704915612933937</v>
      </c>
      <c r="K13" s="97" t="s">
        <v>2174</v>
      </c>
      <c r="L13" s="18" t="s">
        <v>2180</v>
      </c>
    </row>
    <row r="14" customFormat="false" ht="15" hidden="false" customHeight="true" outlineLevel="0" collapsed="false">
      <c r="A14" s="124" t="s">
        <v>1163</v>
      </c>
      <c r="B14" s="98" t="n">
        <v>2954527</v>
      </c>
      <c r="C14" s="98" t="n">
        <v>2281228</v>
      </c>
      <c r="D14" s="99" t="n">
        <f aca="false">C14/B14</f>
        <v>0.772112761196632</v>
      </c>
      <c r="E14" s="98" t="n">
        <v>1216343</v>
      </c>
      <c r="F14" s="105" t="n">
        <f aca="false">C14+E14</f>
        <v>3497571</v>
      </c>
      <c r="G14" s="98" t="n">
        <v>33333721</v>
      </c>
      <c r="H14" s="98" t="n">
        <v>31967073</v>
      </c>
      <c r="I14" s="129" t="n">
        <f aca="false">C14/G14</f>
        <v>0.0684360440888072</v>
      </c>
      <c r="J14" s="129" t="n">
        <f aca="false">C14/H14</f>
        <v>0.0713618040663279</v>
      </c>
      <c r="K14" s="97" t="s">
        <v>2174</v>
      </c>
      <c r="L14" s="18" t="s">
        <v>2180</v>
      </c>
    </row>
    <row r="15" customFormat="false" ht="15" hidden="false" customHeight="true" outlineLevel="0" collapsed="false">
      <c r="A15" s="124" t="s">
        <v>733</v>
      </c>
      <c r="B15" s="98" t="n">
        <v>2929273</v>
      </c>
      <c r="C15" s="98" t="n">
        <v>2205490</v>
      </c>
      <c r="D15" s="99" t="n">
        <f aca="false">C15/B15</f>
        <v>0.752913777582356</v>
      </c>
      <c r="E15" s="98" t="n">
        <v>1251854</v>
      </c>
      <c r="F15" s="105" t="n">
        <f aca="false">C15+E15</f>
        <v>3457344</v>
      </c>
      <c r="G15" s="98" t="n">
        <v>32891848</v>
      </c>
      <c r="H15" s="98" t="n">
        <v>31555807</v>
      </c>
      <c r="I15" s="129" t="n">
        <f aca="false">C15/G15</f>
        <v>0.0670527846291884</v>
      </c>
      <c r="J15" s="129" t="n">
        <f aca="false">C15/H15</f>
        <v>0.0698917318134187</v>
      </c>
      <c r="K15" s="97" t="s">
        <v>2174</v>
      </c>
      <c r="L15" s="106"/>
    </row>
    <row r="16" customFormat="false" ht="30" hidden="false" customHeight="true" outlineLevel="0" collapsed="false">
      <c r="A16" s="124" t="s">
        <v>741</v>
      </c>
      <c r="B16" s="98" t="n">
        <v>3185144</v>
      </c>
      <c r="C16" s="98" t="n">
        <v>2463771</v>
      </c>
      <c r="D16" s="99" t="n">
        <f aca="false">C16/B16</f>
        <v>0.773519501787046</v>
      </c>
      <c r="E16" s="98" t="n">
        <v>1287500</v>
      </c>
      <c r="F16" s="105" t="n">
        <f aca="false">C16+E16</f>
        <v>3751271</v>
      </c>
      <c r="G16" s="98" t="n">
        <v>33718585</v>
      </c>
      <c r="H16" s="98" t="n">
        <v>32345846</v>
      </c>
      <c r="I16" s="129" t="n">
        <f aca="false">C16/G16</f>
        <v>0.0730686355907284</v>
      </c>
      <c r="J16" s="129" t="n">
        <f aca="false">C16/H16</f>
        <v>0.0761696262326853</v>
      </c>
      <c r="K16" s="97" t="s">
        <v>2181</v>
      </c>
      <c r="L16" s="18" t="s">
        <v>2269</v>
      </c>
    </row>
    <row r="17" customFormat="false" ht="9.75" hidden="false" customHeight="true" outlineLevel="0" collapsed="false"/>
    <row r="18" customFormat="false" ht="42" hidden="false" customHeight="true" outlineLevel="0" collapsed="false">
      <c r="A18" s="21" t="s">
        <v>2270</v>
      </c>
    </row>
    <row r="19" customFormat="false" ht="30" hidden="false" customHeight="true" outlineLevel="0" collapsed="false">
      <c r="A19" s="16" t="s">
        <v>2271</v>
      </c>
      <c r="B19" s="16" t="s">
        <v>581</v>
      </c>
      <c r="C19" s="16" t="s">
        <v>2272</v>
      </c>
      <c r="D19" s="16" t="s">
        <v>2273</v>
      </c>
      <c r="E19" s="16" t="s">
        <v>2085</v>
      </c>
    </row>
    <row r="20" customFormat="false" ht="42" hidden="false" customHeight="true" outlineLevel="0" collapsed="false">
      <c r="A20" s="18" t="s">
        <v>2274</v>
      </c>
      <c r="B20" s="98" t="n">
        <v>31555807</v>
      </c>
      <c r="C20" s="129" t="n">
        <f aca="false">2205490/B20</f>
        <v>0.0698917318134187</v>
      </c>
      <c r="D20" s="129" t="n">
        <f aca="false">2929273/B20</f>
        <v>0.0928283342587309</v>
      </c>
      <c r="E20" s="18" t="s">
        <v>2275</v>
      </c>
    </row>
    <row r="21" customFormat="false" ht="42" hidden="false" customHeight="true" outlineLevel="0" collapsed="false">
      <c r="A21" s="18" t="s">
        <v>2276</v>
      </c>
      <c r="B21" s="98" t="n">
        <v>32891848</v>
      </c>
      <c r="C21" s="129" t="n">
        <f aca="false">2205490/B21</f>
        <v>0.0670527846291884</v>
      </c>
      <c r="D21" s="129" t="n">
        <f aca="false">2929273/B21</f>
        <v>0.0890577203202447</v>
      </c>
      <c r="E21" s="18" t="s">
        <v>2277</v>
      </c>
    </row>
    <row r="22" customFormat="false" ht="42" hidden="false" customHeight="true" outlineLevel="0" collapsed="false">
      <c r="A22" s="18" t="s">
        <v>2278</v>
      </c>
      <c r="B22" s="98" t="n">
        <v>29413783</v>
      </c>
      <c r="C22" s="129" t="n">
        <f aca="false">2205490/B22</f>
        <v>0.0749815146185038</v>
      </c>
      <c r="D22" s="129" t="n">
        <f aca="false">2929273/B22</f>
        <v>0.0995884480415185</v>
      </c>
      <c r="E22" s="18" t="s">
        <v>2279</v>
      </c>
    </row>
    <row r="23" customFormat="false" ht="54.75" hidden="false" customHeight="true" outlineLevel="0" collapsed="false">
      <c r="A23" s="8" t="s">
        <v>2280</v>
      </c>
      <c r="B23" s="109"/>
      <c r="C23" s="134" t="n">
        <f aca="false">MAX(C20:C22)-MIN(C20:C22)</f>
        <v>0.00792872998931549</v>
      </c>
      <c r="D23" s="134" t="n">
        <f aca="false">MAX(D20:D22)-MIN(D20:D22)</f>
        <v>0.0105307277212738</v>
      </c>
    </row>
    <row r="24" customFormat="false" ht="9.75" hidden="false" customHeight="true" outlineLevel="0" collapsed="false"/>
    <row r="25" customFormat="false" ht="30" hidden="false" customHeight="true" outlineLevel="0" collapsed="false">
      <c r="A25" s="19" t="s">
        <v>2281</v>
      </c>
      <c r="B25" s="19"/>
      <c r="C25" s="19"/>
      <c r="D25" s="19"/>
      <c r="E25" s="19"/>
      <c r="F25" s="19"/>
      <c r="G25" s="19"/>
      <c r="H25" s="19"/>
      <c r="I25" s="19"/>
      <c r="J25" s="19"/>
      <c r="K25" s="19"/>
      <c r="L25" s="19"/>
    </row>
    <row r="26" customFormat="false" ht="30" hidden="false" customHeight="true" outlineLevel="0" collapsed="false">
      <c r="A26" s="19" t="s">
        <v>2282</v>
      </c>
      <c r="B26" s="19"/>
      <c r="C26" s="19"/>
      <c r="D26" s="19"/>
      <c r="E26" s="19"/>
      <c r="F26" s="19"/>
      <c r="G26" s="19"/>
      <c r="H26" s="19"/>
      <c r="I26" s="19"/>
      <c r="J26" s="19"/>
      <c r="K26" s="19"/>
      <c r="L26" s="19"/>
    </row>
  </sheetData>
  <mergeCells count="4">
    <mergeCell ref="A1:L1"/>
    <mergeCell ref="A2:L2"/>
    <mergeCell ref="A25:L25"/>
    <mergeCell ref="A26:L26"/>
  </mergeCells>
  <printOptions headings="false" gridLines="false" gridLinesSet="true" horizontalCentered="false" verticalCentered="false"/>
  <pageMargins left="0.75" right="0.75" top="1" bottom="1" header="0.511811023622047" footer="0.511805555555556"/>
  <pageSetup paperSize="5" scale="100" fitToWidth="1" fitToHeight="0" pageOrder="downThenOver" orientation="landscape" blackAndWhite="false" draft="false" cellComments="none" horizontalDpi="300" verticalDpi="300" copies="1"/>
  <headerFooter differentFirst="false" differentOddEven="false">
    <oddHeader/>
    <oddFooter>&amp;L&amp;8 IFT Sourced Evidence Master  |  verified 09 July 2026&amp;R&amp;8 &amp;A  |  page &amp;P of &amp;N</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F8B"/>
    <pageSetUpPr fitToPage="true"/>
  </sheetPr>
  <dimension ref="A1:J9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7" min="2" style="1" width="13"/>
    <col collapsed="false" customWidth="true" hidden="false" outlineLevel="0" max="9" min="8" style="1" width="11"/>
    <col collapsed="false" customWidth="true" hidden="false" outlineLevel="0" max="10" min="10" style="1" width="13"/>
  </cols>
  <sheetData>
    <row r="1" customFormat="false" ht="24" hidden="false" customHeight="true" outlineLevel="0" collapsed="false">
      <c r="A1" s="14" t="s">
        <v>2283</v>
      </c>
      <c r="B1" s="14"/>
      <c r="C1" s="14"/>
      <c r="D1" s="14"/>
      <c r="E1" s="14"/>
      <c r="F1" s="14"/>
      <c r="G1" s="14"/>
      <c r="H1" s="14"/>
      <c r="I1" s="14"/>
      <c r="J1" s="14"/>
    </row>
    <row r="2" customFormat="false" ht="42" hidden="false" customHeight="true" outlineLevel="0" collapsed="false">
      <c r="A2" s="3" t="s">
        <v>2284</v>
      </c>
      <c r="B2" s="3"/>
      <c r="C2" s="3"/>
      <c r="D2" s="3"/>
      <c r="E2" s="3"/>
      <c r="F2" s="3"/>
      <c r="G2" s="3"/>
      <c r="H2" s="3"/>
      <c r="I2" s="3"/>
      <c r="J2" s="3"/>
    </row>
    <row r="3" customFormat="false" ht="13.5" hidden="false" customHeight="true" outlineLevel="0" collapsed="false"/>
    <row r="4" customFormat="false" ht="30" hidden="false" customHeight="true" outlineLevel="0" collapsed="false">
      <c r="A4" s="21" t="s">
        <v>2285</v>
      </c>
    </row>
    <row r="5" customFormat="false" ht="24" hidden="false" customHeight="true" outlineLevel="0" collapsed="false">
      <c r="A5" s="16" t="s">
        <v>722</v>
      </c>
      <c r="B5" s="16" t="s">
        <v>844</v>
      </c>
      <c r="C5" s="16" t="s">
        <v>1862</v>
      </c>
      <c r="D5" s="16" t="s">
        <v>1163</v>
      </c>
      <c r="E5" s="16" t="s">
        <v>733</v>
      </c>
      <c r="F5" s="16" t="s">
        <v>741</v>
      </c>
      <c r="G5" s="16" t="s">
        <v>806</v>
      </c>
      <c r="H5" s="16" t="s">
        <v>2085</v>
      </c>
    </row>
    <row r="6" customFormat="false" ht="231" hidden="false" customHeight="true" outlineLevel="0" collapsed="false">
      <c r="A6" s="9" t="s">
        <v>2286</v>
      </c>
      <c r="B6" s="98" t="n">
        <v>36119261</v>
      </c>
      <c r="C6" s="98" t="n">
        <v>44798443</v>
      </c>
      <c r="D6" s="98" t="n">
        <v>50192875</v>
      </c>
      <c r="E6" s="98" t="n">
        <v>53572097</v>
      </c>
      <c r="F6" s="98" t="n">
        <v>46040873</v>
      </c>
      <c r="G6" s="98" t="n">
        <v>60298684</v>
      </c>
      <c r="H6" s="18" t="s">
        <v>2287</v>
      </c>
    </row>
    <row r="7" customFormat="false" ht="93" hidden="false" customHeight="true" outlineLevel="0" collapsed="false">
      <c r="A7" s="9" t="s">
        <v>2288</v>
      </c>
      <c r="B7" s="98" t="n">
        <v>47</v>
      </c>
      <c r="C7" s="98" t="n">
        <v>50</v>
      </c>
      <c r="D7" s="98" t="n">
        <v>50</v>
      </c>
      <c r="E7" s="98" t="n">
        <v>54</v>
      </c>
      <c r="F7" s="98" t="n">
        <v>54</v>
      </c>
      <c r="G7" s="98" t="n">
        <v>54</v>
      </c>
      <c r="H7" s="18" t="s">
        <v>2289</v>
      </c>
    </row>
    <row r="8" customFormat="false" ht="54.75" hidden="false" customHeight="true" outlineLevel="0" collapsed="false">
      <c r="A8" s="97" t="s">
        <v>2290</v>
      </c>
      <c r="B8" s="98" t="n">
        <v>11025</v>
      </c>
      <c r="C8" s="98" t="n">
        <v>12319</v>
      </c>
      <c r="D8" s="98" t="n">
        <v>12319</v>
      </c>
      <c r="E8" s="98" t="n">
        <v>13778</v>
      </c>
      <c r="F8" s="98" t="n">
        <v>14369</v>
      </c>
      <c r="G8" s="98" t="n">
        <v>14756</v>
      </c>
      <c r="H8" s="18" t="s">
        <v>2291</v>
      </c>
    </row>
    <row r="9" customFormat="false" ht="42" hidden="false" customHeight="true" outlineLevel="0" collapsed="false">
      <c r="A9" s="97" t="s">
        <v>2292</v>
      </c>
      <c r="B9" s="124" t="s">
        <v>2293</v>
      </c>
      <c r="C9" s="124" t="s">
        <v>2293</v>
      </c>
      <c r="D9" s="124" t="s">
        <v>2293</v>
      </c>
      <c r="E9" s="124" t="s">
        <v>2293</v>
      </c>
      <c r="F9" s="124" t="s">
        <v>2294</v>
      </c>
      <c r="G9" s="124" t="s">
        <v>2294</v>
      </c>
      <c r="H9" s="18" t="s">
        <v>2295</v>
      </c>
    </row>
    <row r="10" customFormat="false" ht="9.75" hidden="false" customHeight="true" outlineLevel="0" collapsed="false"/>
    <row r="11" customFormat="false" ht="30" hidden="false" customHeight="true" outlineLevel="0" collapsed="false">
      <c r="A11" s="19" t="s">
        <v>2296</v>
      </c>
      <c r="B11" s="19"/>
      <c r="C11" s="19"/>
      <c r="D11" s="19"/>
      <c r="E11" s="19"/>
      <c r="F11" s="19"/>
      <c r="G11" s="19"/>
      <c r="H11" s="19"/>
      <c r="I11" s="19"/>
      <c r="J11" s="19"/>
    </row>
    <row r="12" customFormat="false" ht="9.75" hidden="false" customHeight="true" outlineLevel="0" collapsed="false"/>
    <row r="13" customFormat="false" ht="30" hidden="false" customHeight="true" outlineLevel="0" collapsed="false">
      <c r="A13" s="15" t="s">
        <v>2297</v>
      </c>
      <c r="B13" s="15"/>
      <c r="C13" s="15"/>
      <c r="D13" s="15"/>
      <c r="E13" s="15"/>
      <c r="F13" s="15"/>
      <c r="G13" s="15"/>
      <c r="H13" s="15"/>
      <c r="I13" s="15"/>
      <c r="J13" s="15"/>
    </row>
    <row r="14" customFormat="false" ht="24" hidden="false" customHeight="true" outlineLevel="0" collapsed="false">
      <c r="A14" s="16" t="s">
        <v>2298</v>
      </c>
      <c r="B14" s="16" t="s">
        <v>844</v>
      </c>
      <c r="C14" s="16" t="s">
        <v>1862</v>
      </c>
      <c r="D14" s="16" t="s">
        <v>1163</v>
      </c>
      <c r="E14" s="16" t="s">
        <v>733</v>
      </c>
      <c r="F14" s="16" t="s">
        <v>741</v>
      </c>
      <c r="G14" s="16" t="s">
        <v>2299</v>
      </c>
      <c r="H14" s="16" t="s">
        <v>2300</v>
      </c>
      <c r="I14" s="16" t="s">
        <v>2301</v>
      </c>
    </row>
    <row r="15" customFormat="false" ht="16.5" hidden="false" customHeight="true" outlineLevel="0" collapsed="false">
      <c r="A15" s="97" t="s">
        <v>2302</v>
      </c>
      <c r="B15" s="98" t="n">
        <v>27925669</v>
      </c>
      <c r="C15" s="98" t="n">
        <v>34718261</v>
      </c>
      <c r="D15" s="98" t="n">
        <v>39057108</v>
      </c>
      <c r="E15" s="98" t="n">
        <v>42302358</v>
      </c>
      <c r="F15" s="98" t="n">
        <v>36367261</v>
      </c>
      <c r="G15" s="99" t="n">
        <f aca="false">B15/B$22</f>
        <v>0.77315172644313</v>
      </c>
      <c r="H15" s="99" t="n">
        <f aca="false">F15/F$22</f>
        <v>0.789890778135332</v>
      </c>
      <c r="I15" s="129" t="n">
        <f aca="false">(F15/B15)^(1/4)-1</f>
        <v>0.0682594708735715</v>
      </c>
    </row>
    <row r="16" customFormat="false" ht="15" hidden="false" customHeight="true" outlineLevel="0" collapsed="false">
      <c r="A16" s="97" t="s">
        <v>2303</v>
      </c>
      <c r="B16" s="98" t="n">
        <v>4408022</v>
      </c>
      <c r="C16" s="98" t="n">
        <v>5430872</v>
      </c>
      <c r="D16" s="98" t="n">
        <v>5813908</v>
      </c>
      <c r="E16" s="98" t="n">
        <v>5758167</v>
      </c>
      <c r="F16" s="98" t="n">
        <v>4765743</v>
      </c>
      <c r="G16" s="99" t="n">
        <f aca="false">B16/B$22</f>
        <v>0.122040758253609</v>
      </c>
      <c r="H16" s="99" t="n">
        <f aca="false">F16/F$22</f>
        <v>0.103511134552119</v>
      </c>
      <c r="I16" s="129" t="n">
        <f aca="false">(F16/B16)^(1/4)-1</f>
        <v>0.0196983494335992</v>
      </c>
    </row>
    <row r="17" customFormat="false" ht="16.5" hidden="false" customHeight="true" outlineLevel="0" collapsed="false">
      <c r="A17" s="9" t="s">
        <v>2304</v>
      </c>
      <c r="B17" s="98" t="n">
        <v>3309316</v>
      </c>
      <c r="C17" s="98" t="n">
        <v>4070413</v>
      </c>
      <c r="D17" s="98" t="n">
        <v>4613080</v>
      </c>
      <c r="E17" s="98" t="n">
        <v>4697465</v>
      </c>
      <c r="F17" s="98" t="n">
        <v>4179580</v>
      </c>
      <c r="G17" s="99" t="n">
        <f aca="false">B17/B$22</f>
        <v>0.0916219188426917</v>
      </c>
      <c r="H17" s="99" t="n">
        <f aca="false">F17/F$22</f>
        <v>0.090779773007345</v>
      </c>
      <c r="I17" s="129" t="n">
        <f aca="false">(F17/B17)^(1/4)-1</f>
        <v>0.0601043115210309</v>
      </c>
    </row>
    <row r="18" customFormat="false" ht="16.5" hidden="false" customHeight="true" outlineLevel="0" collapsed="false">
      <c r="A18" s="9" t="s">
        <v>2305</v>
      </c>
      <c r="B18" s="98" t="n">
        <v>182470</v>
      </c>
      <c r="C18" s="98" t="n">
        <v>238734</v>
      </c>
      <c r="D18" s="98" t="n">
        <v>266525</v>
      </c>
      <c r="E18" s="98" t="n">
        <v>278152</v>
      </c>
      <c r="F18" s="98" t="n">
        <v>243225</v>
      </c>
      <c r="G18" s="99" t="n">
        <f aca="false">B18/B$22</f>
        <v>0.00505187523078061</v>
      </c>
      <c r="H18" s="99" t="n">
        <f aca="false">F18/F$22</f>
        <v>0.00528280599718429</v>
      </c>
      <c r="I18" s="129" t="n">
        <f aca="false">(F18/B18)^(1/4)-1</f>
        <v>0.0744944707745838</v>
      </c>
    </row>
    <row r="19" customFormat="false" ht="15" hidden="false" customHeight="true" outlineLevel="0" collapsed="false">
      <c r="A19" s="97" t="s">
        <v>2306</v>
      </c>
      <c r="B19" s="98" t="n">
        <v>140532</v>
      </c>
      <c r="C19" s="98" t="n">
        <v>139488</v>
      </c>
      <c r="D19" s="98" t="n">
        <v>176882</v>
      </c>
      <c r="E19" s="98" t="n">
        <v>204649</v>
      </c>
      <c r="F19" s="98" t="n">
        <v>137636</v>
      </c>
      <c r="G19" s="99" t="n">
        <f aca="false">B19/B$22</f>
        <v>0.0038907772780844</v>
      </c>
      <c r="H19" s="99" t="n">
        <f aca="false">F19/F$22</f>
        <v>0.00298943071735412</v>
      </c>
      <c r="I19" s="129" t="n">
        <f aca="false">(F19/B19)^(1/4)-1</f>
        <v>-0.00519214936775014</v>
      </c>
    </row>
    <row r="20" customFormat="false" ht="15" hidden="false" customHeight="true" outlineLevel="0" collapsed="false">
      <c r="A20" s="97" t="s">
        <v>2307</v>
      </c>
      <c r="B20" s="98" t="n">
        <v>90829</v>
      </c>
      <c r="C20" s="98" t="n">
        <v>112426</v>
      </c>
      <c r="D20" s="98" t="n">
        <v>130416</v>
      </c>
      <c r="E20" s="98" t="n">
        <v>158524</v>
      </c>
      <c r="F20" s="98" t="n">
        <v>151884</v>
      </c>
      <c r="G20" s="99" t="n">
        <f aca="false">B20/B$22</f>
        <v>0.00251469707533607</v>
      </c>
      <c r="H20" s="99" t="n">
        <f aca="false">F20/F$22</f>
        <v>0.00329889487542949</v>
      </c>
      <c r="I20" s="129" t="n">
        <f aca="false">(F20/B20)^(1/4)-1</f>
        <v>0.137160781646017</v>
      </c>
    </row>
    <row r="21" customFormat="false" ht="15" hidden="false" customHeight="true" outlineLevel="0" collapsed="false">
      <c r="A21" s="97" t="s">
        <v>2308</v>
      </c>
      <c r="B21" s="98" t="n">
        <v>62423</v>
      </c>
      <c r="C21" s="98" t="n">
        <v>88249</v>
      </c>
      <c r="D21" s="98" t="n">
        <v>134956</v>
      </c>
      <c r="E21" s="98" t="n">
        <v>172782</v>
      </c>
      <c r="F21" s="98" t="n">
        <v>195544</v>
      </c>
      <c r="G21" s="99" t="n">
        <f aca="false">B21/B$22</f>
        <v>0.00172824687636882</v>
      </c>
      <c r="H21" s="99" t="n">
        <f aca="false">F21/F$22</f>
        <v>0.00424718271523653</v>
      </c>
      <c r="I21" s="129" t="n">
        <f aca="false">(F21/B21)^(1/4)-1</f>
        <v>0.330377724384029</v>
      </c>
    </row>
    <row r="22" customFormat="false" ht="15" hidden="false" customHeight="true" outlineLevel="0" collapsed="false">
      <c r="A22" s="20" t="s">
        <v>548</v>
      </c>
      <c r="B22" s="135" t="n">
        <f aca="false">SUM(B15:B21)</f>
        <v>36119261</v>
      </c>
      <c r="C22" s="135" t="n">
        <f aca="false">SUM(C15:C21)</f>
        <v>44798443</v>
      </c>
      <c r="D22" s="135" t="n">
        <f aca="false">SUM(D15:D21)</f>
        <v>50192875</v>
      </c>
      <c r="E22" s="135" t="n">
        <f aca="false">SUM(E15:E21)</f>
        <v>53572097</v>
      </c>
      <c r="F22" s="135" t="n">
        <f aca="false">SUM(F15:F21)</f>
        <v>46040873</v>
      </c>
    </row>
    <row r="23" customFormat="false" ht="9.75" hidden="false" customHeight="true" outlineLevel="0" collapsed="false"/>
    <row r="24" customFormat="false" ht="30" hidden="false" customHeight="true" outlineLevel="0" collapsed="false">
      <c r="A24" s="21" t="s">
        <v>2309</v>
      </c>
    </row>
    <row r="25" customFormat="false" ht="33.75" hidden="false" customHeight="true" outlineLevel="0" collapsed="false">
      <c r="A25" s="16" t="s">
        <v>2310</v>
      </c>
      <c r="B25" s="16" t="s">
        <v>806</v>
      </c>
      <c r="C25" s="16" t="s">
        <v>2311</v>
      </c>
      <c r="D25" s="16" t="s">
        <v>2312</v>
      </c>
    </row>
    <row r="26" customFormat="false" ht="30" hidden="false" customHeight="true" outlineLevel="0" collapsed="false">
      <c r="A26" s="9" t="s">
        <v>2313</v>
      </c>
      <c r="B26" s="98" t="n">
        <v>46733668</v>
      </c>
      <c r="C26" s="99" t="n">
        <f aca="false">B26/B$44</f>
        <v>0.775036284373967</v>
      </c>
      <c r="D26" s="97" t="s">
        <v>2169</v>
      </c>
    </row>
    <row r="27" customFormat="false" ht="16.5" hidden="false" customHeight="true" outlineLevel="0" collapsed="false">
      <c r="A27" s="9" t="s">
        <v>2314</v>
      </c>
      <c r="B27" s="98" t="n">
        <v>5510664</v>
      </c>
      <c r="C27" s="99" t="n">
        <f aca="false">B27/B$44</f>
        <v>0.0913894571894803</v>
      </c>
      <c r="D27" s="97" t="s">
        <v>2174</v>
      </c>
    </row>
    <row r="28" customFormat="false" ht="16.5" hidden="false" customHeight="true" outlineLevel="0" collapsed="false">
      <c r="A28" s="9" t="s">
        <v>2315</v>
      </c>
      <c r="B28" s="98" t="n">
        <v>4467204</v>
      </c>
      <c r="C28" s="99" t="n">
        <f aca="false">B28/B$44</f>
        <v>0.0740846019127051</v>
      </c>
      <c r="D28" s="97" t="s">
        <v>2169</v>
      </c>
    </row>
    <row r="29" customFormat="false" ht="30" hidden="false" customHeight="true" outlineLevel="0" collapsed="false">
      <c r="A29" s="9" t="s">
        <v>2316</v>
      </c>
      <c r="B29" s="98" t="n">
        <v>1418924</v>
      </c>
      <c r="C29" s="99" t="n">
        <f aca="false">B29/B$44</f>
        <v>0.0235315915020633</v>
      </c>
      <c r="D29" s="97" t="s">
        <v>2174</v>
      </c>
    </row>
    <row r="30" customFormat="false" ht="15" hidden="false" customHeight="true" outlineLevel="0" collapsed="false">
      <c r="A30" s="97" t="s">
        <v>2317</v>
      </c>
      <c r="B30" s="98" t="n">
        <v>630530</v>
      </c>
      <c r="C30" s="99" t="n">
        <f aca="false">B30/B$44</f>
        <v>0.0104567787913912</v>
      </c>
      <c r="D30" s="97" t="s">
        <v>2169</v>
      </c>
    </row>
    <row r="31" customFormat="false" ht="30" hidden="false" customHeight="true" outlineLevel="0" collapsed="false">
      <c r="A31" s="9" t="s">
        <v>2318</v>
      </c>
      <c r="B31" s="98" t="n">
        <v>335432</v>
      </c>
      <c r="C31" s="99" t="n">
        <f aca="false">B31/B$44</f>
        <v>0.00556284113928589</v>
      </c>
      <c r="D31" s="97" t="s">
        <v>2174</v>
      </c>
    </row>
    <row r="32" customFormat="false" ht="16.5" hidden="false" customHeight="true" outlineLevel="0" collapsed="false">
      <c r="A32" s="9" t="s">
        <v>2319</v>
      </c>
      <c r="B32" s="98" t="n">
        <v>310027</v>
      </c>
      <c r="C32" s="99" t="n">
        <f aca="false">B32/B$44</f>
        <v>0.00514152182823758</v>
      </c>
      <c r="D32" s="97" t="s">
        <v>2169</v>
      </c>
    </row>
    <row r="33" customFormat="false" ht="30" hidden="false" customHeight="true" outlineLevel="0" collapsed="false">
      <c r="A33" s="9" t="s">
        <v>2320</v>
      </c>
      <c r="B33" s="98" t="n">
        <v>247636</v>
      </c>
      <c r="C33" s="99" t="n">
        <f aca="false">B33/B$44</f>
        <v>0.00410682262982721</v>
      </c>
      <c r="D33" s="97" t="s">
        <v>2174</v>
      </c>
    </row>
    <row r="34" customFormat="false" ht="16.5" hidden="false" customHeight="true" outlineLevel="0" collapsed="false">
      <c r="A34" s="9" t="s">
        <v>2321</v>
      </c>
      <c r="B34" s="98" t="n">
        <v>243105</v>
      </c>
      <c r="C34" s="99" t="n">
        <f aca="false">B34/B$44</f>
        <v>0.00403168002804174</v>
      </c>
      <c r="D34" s="97" t="s">
        <v>2169</v>
      </c>
    </row>
    <row r="35" customFormat="false" ht="15" hidden="false" customHeight="true" outlineLevel="0" collapsed="false">
      <c r="A35" s="97" t="s">
        <v>2306</v>
      </c>
      <c r="B35" s="98" t="n">
        <v>240680</v>
      </c>
      <c r="C35" s="99" t="n">
        <f aca="false">B35/B$44</f>
        <v>0.00399146356162599</v>
      </c>
      <c r="D35" s="97" t="s">
        <v>2169</v>
      </c>
    </row>
    <row r="36" customFormat="false" ht="15" hidden="false" customHeight="true" outlineLevel="0" collapsed="false">
      <c r="A36" s="97" t="s">
        <v>2322</v>
      </c>
      <c r="B36" s="98" t="n">
        <v>58179</v>
      </c>
      <c r="C36" s="99" t="n">
        <f aca="false">B36/B$44</f>
        <v>0.000964846927670926</v>
      </c>
      <c r="D36" s="97" t="s">
        <v>2169</v>
      </c>
    </row>
    <row r="37" customFormat="false" ht="16.5" hidden="false" customHeight="true" outlineLevel="0" collapsed="false">
      <c r="A37" s="97" t="s">
        <v>2323</v>
      </c>
      <c r="B37" s="98" t="n">
        <v>53257</v>
      </c>
      <c r="C37" s="99" t="n">
        <f aca="false">B37/B$44</f>
        <v>0.000883219938929347</v>
      </c>
      <c r="D37" s="97" t="s">
        <v>2169</v>
      </c>
    </row>
    <row r="38" customFormat="false" ht="30" hidden="false" customHeight="true" outlineLevel="0" collapsed="false">
      <c r="A38" s="9" t="s">
        <v>2324</v>
      </c>
      <c r="B38" s="98" t="n">
        <v>26441</v>
      </c>
      <c r="C38" s="99" t="n">
        <f aca="false">B38/B$44</f>
        <v>0.000438500448865518</v>
      </c>
      <c r="D38" s="97" t="s">
        <v>2169</v>
      </c>
    </row>
    <row r="39" customFormat="false" ht="30" hidden="false" customHeight="true" outlineLevel="0" collapsed="false">
      <c r="A39" s="9" t="s">
        <v>2325</v>
      </c>
      <c r="B39" s="98" t="n">
        <v>10885</v>
      </c>
      <c r="C39" s="99" t="n">
        <f aca="false">B39/B$44</f>
        <v>0.000180518035849671</v>
      </c>
      <c r="D39" s="97" t="s">
        <v>2169</v>
      </c>
    </row>
    <row r="40" customFormat="false" ht="16.5" hidden="false" customHeight="true" outlineLevel="0" collapsed="false">
      <c r="A40" s="9" t="s">
        <v>2326</v>
      </c>
      <c r="B40" s="98" t="n">
        <v>5022</v>
      </c>
      <c r="C40" s="99" t="n">
        <f aca="false">B40/B$44</f>
        <v>8.32853997277951E-005</v>
      </c>
      <c r="D40" s="97" t="s">
        <v>2169</v>
      </c>
    </row>
    <row r="41" customFormat="false" ht="16.5" hidden="false" customHeight="true" outlineLevel="0" collapsed="false">
      <c r="A41" s="9" t="s">
        <v>2327</v>
      </c>
      <c r="B41" s="98" t="n">
        <v>2879</v>
      </c>
      <c r="C41" s="99" t="n">
        <f aca="false">B41/B$44</f>
        <v>4.77456522931744E-005</v>
      </c>
      <c r="D41" s="97" t="s">
        <v>2169</v>
      </c>
    </row>
    <row r="42" customFormat="false" ht="30" hidden="false" customHeight="true" outlineLevel="0" collapsed="false">
      <c r="A42" s="9" t="s">
        <v>2328</v>
      </c>
      <c r="B42" s="98" t="n">
        <v>2201</v>
      </c>
      <c r="C42" s="99" t="n">
        <f aca="false">B42/B$44</f>
        <v>3.65016258066262E-005</v>
      </c>
      <c r="D42" s="97" t="s">
        <v>2169</v>
      </c>
    </row>
    <row r="43" customFormat="false" ht="15" hidden="false" customHeight="true" outlineLevel="0" collapsed="false">
      <c r="A43" s="97" t="s">
        <v>2329</v>
      </c>
      <c r="B43" s="98" t="n">
        <v>1950</v>
      </c>
      <c r="C43" s="99" t="n">
        <f aca="false">B43/B$44</f>
        <v>3.23390142312227E-005</v>
      </c>
      <c r="D43" s="97" t="s">
        <v>2169</v>
      </c>
    </row>
    <row r="44" customFormat="false" ht="15" hidden="false" customHeight="true" outlineLevel="0" collapsed="false">
      <c r="A44" s="20" t="s">
        <v>548</v>
      </c>
      <c r="B44" s="135" t="n">
        <f aca="false">SUM(B26:B43)</f>
        <v>60298684</v>
      </c>
    </row>
    <row r="45" customFormat="false" ht="9.75" hidden="false" customHeight="true" outlineLevel="0" collapsed="false"/>
    <row r="46" customFormat="false" ht="30" hidden="false" customHeight="true" outlineLevel="0" collapsed="false">
      <c r="A46" s="21" t="s">
        <v>2330</v>
      </c>
    </row>
    <row r="47" customFormat="false" ht="33.75" hidden="false" customHeight="true" outlineLevel="0" collapsed="false">
      <c r="A47" s="16" t="s">
        <v>1902</v>
      </c>
      <c r="B47" s="16" t="s">
        <v>2331</v>
      </c>
      <c r="C47" s="16" t="s">
        <v>2332</v>
      </c>
      <c r="D47" s="16" t="s">
        <v>725</v>
      </c>
    </row>
    <row r="48" customFormat="false" ht="16.5" hidden="false" customHeight="true" outlineLevel="0" collapsed="false">
      <c r="A48" s="9" t="s">
        <v>2314</v>
      </c>
      <c r="B48" s="130" t="n">
        <f aca="false">B27</f>
        <v>5510664</v>
      </c>
      <c r="C48" s="129" t="n">
        <f aca="false">B48/B44</f>
        <v>0.0913894571894803</v>
      </c>
      <c r="D48" s="17" t="s">
        <v>735</v>
      </c>
    </row>
    <row r="49" customFormat="false" ht="30" hidden="false" customHeight="true" outlineLevel="0" collapsed="false">
      <c r="A49" s="9" t="s">
        <v>2333</v>
      </c>
      <c r="B49" s="105" t="n">
        <f aca="false">B27+B29+B31+B33</f>
        <v>7512656</v>
      </c>
      <c r="C49" s="129" t="n">
        <f aca="false">B49/B44</f>
        <v>0.124590712460657</v>
      </c>
      <c r="D49" s="17" t="s">
        <v>751</v>
      </c>
    </row>
    <row r="50" customFormat="false" ht="30" hidden="false" customHeight="true" outlineLevel="0" collapsed="false">
      <c r="A50" s="9" t="s">
        <v>2334</v>
      </c>
      <c r="B50" s="130" t="n">
        <f aca="false">B28</f>
        <v>4467204</v>
      </c>
      <c r="C50" s="129" t="n">
        <f aca="false">B50/B44</f>
        <v>0.0740846019127051</v>
      </c>
      <c r="D50" s="17" t="s">
        <v>735</v>
      </c>
    </row>
    <row r="51" customFormat="false" ht="16.5" hidden="false" customHeight="true" outlineLevel="0" collapsed="false">
      <c r="A51" s="19" t="s">
        <v>2335</v>
      </c>
      <c r="B51" s="19"/>
      <c r="C51" s="19"/>
      <c r="D51" s="19"/>
      <c r="E51" s="19"/>
      <c r="F51" s="19"/>
      <c r="G51" s="19"/>
      <c r="H51" s="19"/>
      <c r="I51" s="19"/>
      <c r="J51" s="19"/>
    </row>
    <row r="52" customFormat="false" ht="42" hidden="false" customHeight="true" outlineLevel="0" collapsed="false">
      <c r="A52" s="19" t="s">
        <v>2336</v>
      </c>
      <c r="B52" s="19"/>
      <c r="C52" s="19"/>
      <c r="D52" s="19"/>
      <c r="E52" s="19"/>
      <c r="F52" s="19"/>
      <c r="G52" s="19"/>
      <c r="H52" s="19"/>
      <c r="I52" s="19"/>
      <c r="J52" s="19"/>
    </row>
    <row r="53" customFormat="false" ht="9.75" hidden="false" customHeight="true" outlineLevel="0" collapsed="false"/>
    <row r="54" customFormat="false" ht="19.5" hidden="false" customHeight="true" outlineLevel="0" collapsed="false">
      <c r="A54" s="15" t="s">
        <v>2337</v>
      </c>
      <c r="B54" s="15"/>
      <c r="C54" s="15"/>
      <c r="D54" s="15"/>
      <c r="E54" s="15"/>
      <c r="F54" s="15"/>
      <c r="G54" s="15"/>
      <c r="H54" s="15"/>
      <c r="I54" s="15"/>
      <c r="J54" s="15"/>
    </row>
    <row r="55" customFormat="false" ht="24" hidden="false" customHeight="true" outlineLevel="0" collapsed="false">
      <c r="A55" s="16" t="s">
        <v>2338</v>
      </c>
      <c r="B55" s="16" t="s">
        <v>844</v>
      </c>
      <c r="C55" s="16" t="s">
        <v>1862</v>
      </c>
      <c r="D55" s="16" t="s">
        <v>1163</v>
      </c>
      <c r="E55" s="16" t="s">
        <v>733</v>
      </c>
      <c r="F55" s="16" t="s">
        <v>741</v>
      </c>
      <c r="G55" s="16" t="s">
        <v>806</v>
      </c>
      <c r="H55" s="16" t="s">
        <v>2299</v>
      </c>
      <c r="I55" s="16" t="s">
        <v>2339</v>
      </c>
      <c r="J55" s="16" t="s">
        <v>2340</v>
      </c>
    </row>
    <row r="56" customFormat="false" ht="16.5" hidden="false" customHeight="true" outlineLevel="0" collapsed="false">
      <c r="A56" s="9" t="s">
        <v>2341</v>
      </c>
      <c r="B56" s="98" t="n">
        <v>16267916</v>
      </c>
      <c r="C56" s="98" t="n">
        <v>19719180</v>
      </c>
      <c r="D56" s="98" t="n">
        <v>22054717</v>
      </c>
      <c r="E56" s="98" t="n">
        <v>24016095</v>
      </c>
      <c r="F56" s="98" t="n">
        <v>20914310</v>
      </c>
      <c r="G56" s="98" t="n">
        <v>27706728</v>
      </c>
      <c r="H56" s="99" t="n">
        <f aca="false">B56/B$68</f>
        <v>0.879435610038895</v>
      </c>
      <c r="I56" s="99" t="n">
        <f aca="false">G56/G$68</f>
        <v>0.919778109112575</v>
      </c>
      <c r="J56" s="129" t="n">
        <f aca="false">(G56/B56)^(1/5)-1</f>
        <v>0.112373576448458</v>
      </c>
    </row>
    <row r="57" customFormat="false" ht="30" hidden="false" customHeight="true" outlineLevel="0" collapsed="false">
      <c r="A57" s="9" t="s">
        <v>2342</v>
      </c>
      <c r="B57" s="98" t="n">
        <v>1682714</v>
      </c>
      <c r="C57" s="98" t="n">
        <v>1666293</v>
      </c>
      <c r="D57" s="98" t="n">
        <v>1736151</v>
      </c>
      <c r="E57" s="98" t="n">
        <v>1863294</v>
      </c>
      <c r="F57" s="98" t="n">
        <v>1502001</v>
      </c>
      <c r="G57" s="98" t="n">
        <v>1738980</v>
      </c>
      <c r="H57" s="99" t="n">
        <f aca="false">B57/B$68</f>
        <v>0.0909666986915219</v>
      </c>
      <c r="I57" s="99" t="n">
        <f aca="false">G57/G$68</f>
        <v>0.057728784726388</v>
      </c>
      <c r="J57" s="129" t="n">
        <f aca="false">(G57/B57)^(1/5)-1</f>
        <v>0.006599837235856</v>
      </c>
    </row>
    <row r="58" customFormat="false" ht="16.5" hidden="false" customHeight="true" outlineLevel="0" collapsed="false">
      <c r="A58" s="9" t="s">
        <v>2343</v>
      </c>
      <c r="B58" s="98" t="n">
        <v>141030</v>
      </c>
      <c r="C58" s="98" t="n">
        <v>150330</v>
      </c>
      <c r="D58" s="98" t="n">
        <v>175514</v>
      </c>
      <c r="E58" s="98" t="n">
        <v>198770</v>
      </c>
      <c r="F58" s="98" t="n">
        <v>194664</v>
      </c>
      <c r="G58" s="98" t="n">
        <v>188683</v>
      </c>
      <c r="H58" s="99" t="n">
        <f aca="false">B58/B$68</f>
        <v>0.00762401306250815</v>
      </c>
      <c r="I58" s="99" t="n">
        <f aca="false">G58/G$68</f>
        <v>0.00626369497551959</v>
      </c>
      <c r="J58" s="129" t="n">
        <f aca="false">(G58/B58)^(1/5)-1</f>
        <v>0.0599472522996891</v>
      </c>
    </row>
    <row r="59" customFormat="false" ht="16.5" hidden="false" customHeight="true" outlineLevel="0" collapsed="false">
      <c r="A59" s="9" t="s">
        <v>2344</v>
      </c>
      <c r="B59" s="98" t="n">
        <v>43070</v>
      </c>
      <c r="C59" s="98" t="n">
        <v>70736</v>
      </c>
      <c r="D59" s="98" t="n">
        <v>104199</v>
      </c>
      <c r="E59" s="98" t="n">
        <v>130988</v>
      </c>
      <c r="F59" s="98" t="n">
        <v>117984</v>
      </c>
      <c r="G59" s="98" t="n">
        <v>156346</v>
      </c>
      <c r="H59" s="99" t="n">
        <f aca="false">B59/B$68</f>
        <v>0.00232834320784391</v>
      </c>
      <c r="I59" s="99" t="n">
        <f aca="false">G59/G$68</f>
        <v>0.00519020608450463</v>
      </c>
      <c r="J59" s="129" t="n">
        <f aca="false">(G59/B59)^(1/5)-1</f>
        <v>0.294143336681085</v>
      </c>
    </row>
    <row r="60" customFormat="false" ht="15" hidden="false" customHeight="true" outlineLevel="0" collapsed="false">
      <c r="A60" s="97" t="s">
        <v>2345</v>
      </c>
      <c r="B60" s="98" t="n">
        <v>56731</v>
      </c>
      <c r="C60" s="98" t="n">
        <v>73593</v>
      </c>
      <c r="D60" s="98" t="n">
        <v>78952</v>
      </c>
      <c r="E60" s="98" t="n">
        <v>69811</v>
      </c>
      <c r="F60" s="98" t="n">
        <v>52980</v>
      </c>
      <c r="G60" s="98" t="n">
        <v>73293</v>
      </c>
      <c r="H60" s="99" t="n">
        <f aca="false">B60/B$68</f>
        <v>0.00306685020952386</v>
      </c>
      <c r="I60" s="99" t="n">
        <f aca="false">G60/G$68</f>
        <v>0.00243310205922504</v>
      </c>
      <c r="J60" s="129" t="n">
        <f aca="false">(G60/B60)^(1/5)-1</f>
        <v>0.0525637571113664</v>
      </c>
    </row>
    <row r="61" customFormat="false" ht="15" hidden="false" customHeight="true" outlineLevel="0" collapsed="false">
      <c r="A61" s="97" t="s">
        <v>2346</v>
      </c>
      <c r="B61" s="98" t="n">
        <v>116748</v>
      </c>
      <c r="C61" s="98" t="n">
        <v>134198</v>
      </c>
      <c r="D61" s="98" t="n">
        <v>161668</v>
      </c>
      <c r="E61" s="98" t="n">
        <v>188520</v>
      </c>
      <c r="F61" s="98" t="n">
        <v>189280</v>
      </c>
      <c r="G61" s="98" t="n">
        <v>69367</v>
      </c>
      <c r="H61" s="99" t="n">
        <f aca="false">B61/B$68</f>
        <v>0.00631133997746367</v>
      </c>
      <c r="I61" s="99" t="n">
        <f aca="false">G61/G$68</f>
        <v>0.00230277094050268</v>
      </c>
      <c r="J61" s="129" t="n">
        <f aca="false">(G61/B61)^(1/5)-1</f>
        <v>-0.0988840174032446</v>
      </c>
    </row>
    <row r="62" customFormat="false" ht="30" hidden="false" customHeight="true" outlineLevel="0" collapsed="false">
      <c r="A62" s="9" t="s">
        <v>2347</v>
      </c>
      <c r="B62" s="98" t="n">
        <v>90418</v>
      </c>
      <c r="C62" s="98" t="n">
        <v>65250</v>
      </c>
      <c r="D62" s="98" t="n">
        <v>60901</v>
      </c>
      <c r="E62" s="98" t="n">
        <v>51031</v>
      </c>
      <c r="F62" s="98" t="n">
        <v>44553</v>
      </c>
      <c r="G62" s="98" t="n">
        <v>66934</v>
      </c>
      <c r="H62" s="99" t="n">
        <f aca="false">B62/B$68</f>
        <v>0.00488795301060669</v>
      </c>
      <c r="I62" s="99" t="n">
        <f aca="false">G62/G$68</f>
        <v>0.0022220028274483</v>
      </c>
      <c r="J62" s="129" t="n">
        <f aca="false">(G62/B62)^(1/5)-1</f>
        <v>-0.0583741410833688</v>
      </c>
    </row>
    <row r="63" customFormat="false" ht="15" hidden="false" customHeight="true" outlineLevel="0" collapsed="false">
      <c r="A63" s="97" t="s">
        <v>2348</v>
      </c>
      <c r="B63" s="98" t="n">
        <v>12500</v>
      </c>
      <c r="C63" s="98" t="n">
        <v>19160</v>
      </c>
      <c r="D63" s="98" t="n">
        <v>19618</v>
      </c>
      <c r="E63" s="98" t="n">
        <v>19648</v>
      </c>
      <c r="F63" s="98" t="n">
        <v>15775</v>
      </c>
      <c r="G63" s="98" t="n">
        <v>48756</v>
      </c>
      <c r="H63" s="99" t="n">
        <f aca="false">B63/B$68</f>
        <v>0.000675743907546989</v>
      </c>
      <c r="I63" s="99" t="n">
        <f aca="false">G63/G$68</f>
        <v>0.0016185491656717</v>
      </c>
      <c r="J63" s="129" t="n">
        <f aca="false">(G63/B63)^(1/5)-1</f>
        <v>0.312875703092362</v>
      </c>
    </row>
    <row r="64" customFormat="false" ht="16.5" hidden="false" customHeight="true" outlineLevel="0" collapsed="false">
      <c r="A64" s="9" t="s">
        <v>2349</v>
      </c>
      <c r="B64" s="98" t="n">
        <v>25532</v>
      </c>
      <c r="C64" s="98" t="n">
        <v>37097</v>
      </c>
      <c r="D64" s="98" t="n">
        <v>44356</v>
      </c>
      <c r="E64" s="98" t="n">
        <v>45011</v>
      </c>
      <c r="F64" s="98" t="n">
        <v>39053</v>
      </c>
      <c r="G64" s="98" t="n">
        <v>40502</v>
      </c>
      <c r="H64" s="99" t="n">
        <f aca="false">B64/B$68</f>
        <v>0.00138024747579918</v>
      </c>
      <c r="I64" s="99" t="n">
        <f aca="false">G64/G$68</f>
        <v>0.00134454176528089</v>
      </c>
      <c r="J64" s="129" t="n">
        <f aca="false">(G64/B64)^(1/5)-1</f>
        <v>0.0966759681216423</v>
      </c>
    </row>
    <row r="65" customFormat="false" ht="16.5" hidden="false" customHeight="true" outlineLevel="0" collapsed="false">
      <c r="A65" s="9" t="s">
        <v>2350</v>
      </c>
      <c r="B65" s="98" t="n">
        <v>54281</v>
      </c>
      <c r="C65" s="98" t="n">
        <v>37921</v>
      </c>
      <c r="D65" s="98" t="n">
        <v>38829</v>
      </c>
      <c r="E65" s="98" t="n">
        <v>34223</v>
      </c>
      <c r="F65" s="98" t="n">
        <v>25436</v>
      </c>
      <c r="G65" s="98" t="n">
        <v>24752</v>
      </c>
      <c r="H65" s="99" t="n">
        <f aca="false">B65/B$68</f>
        <v>0.00293440440364465</v>
      </c>
      <c r="I65" s="99" t="n">
        <f aca="false">G65/G$68</f>
        <v>0.000821690231944907</v>
      </c>
      <c r="J65" s="129" t="n">
        <f aca="false">(G65/B65)^(1/5)-1</f>
        <v>-0.145341745931431</v>
      </c>
    </row>
    <row r="66" customFormat="false" ht="15" hidden="false" customHeight="true" outlineLevel="0" collapsed="false">
      <c r="A66" s="97" t="s">
        <v>2351</v>
      </c>
      <c r="B66" s="98" t="n">
        <v>3179</v>
      </c>
      <c r="C66" s="98" t="n">
        <v>2964</v>
      </c>
      <c r="D66" s="98" t="n">
        <v>4614</v>
      </c>
      <c r="E66" s="98" t="n">
        <v>5670</v>
      </c>
      <c r="F66" s="98" t="n">
        <v>4581</v>
      </c>
      <c r="G66" s="98" t="n">
        <v>6993</v>
      </c>
      <c r="H66" s="99" t="n">
        <f aca="false">B66/B$68</f>
        <v>0.00017185519056735</v>
      </c>
      <c r="I66" s="99" t="n">
        <f aca="false">G66/G$68</f>
        <v>0.000232146080801177</v>
      </c>
      <c r="J66" s="129" t="n">
        <f aca="false">(G66/B66)^(1/5)-1</f>
        <v>0.170778126760275</v>
      </c>
    </row>
    <row r="67" customFormat="false" ht="15" hidden="false" customHeight="true" outlineLevel="0" collapsed="false">
      <c r="A67" s="97" t="s">
        <v>2352</v>
      </c>
      <c r="B67" s="98" t="n">
        <v>4013</v>
      </c>
      <c r="C67" s="98" t="n">
        <v>4264</v>
      </c>
      <c r="D67" s="98" t="n">
        <v>4432</v>
      </c>
      <c r="E67" s="98" t="n">
        <v>4523</v>
      </c>
      <c r="F67" s="98" t="n">
        <v>3772</v>
      </c>
      <c r="G67" s="98" t="n">
        <v>1940</v>
      </c>
      <c r="H67" s="99" t="n">
        <f aca="false">B67/B$68</f>
        <v>0.000216940824078885</v>
      </c>
      <c r="I67" s="99" t="n">
        <f aca="false">G67/G$68</f>
        <v>6.44020301378927E-005</v>
      </c>
      <c r="J67" s="129" t="n">
        <f aca="false">(G67/B67)^(1/5)-1</f>
        <v>-0.135297899317886</v>
      </c>
    </row>
    <row r="68" customFormat="false" ht="15" hidden="false" customHeight="true" outlineLevel="0" collapsed="false">
      <c r="A68" s="20" t="s">
        <v>2353</v>
      </c>
      <c r="B68" s="135" t="n">
        <f aca="false">SUM(B56:B67)</f>
        <v>18498132</v>
      </c>
      <c r="C68" s="135" t="n">
        <f aca="false">SUM(C56:C67)</f>
        <v>21980986</v>
      </c>
      <c r="D68" s="135" t="n">
        <f aca="false">SUM(D56:D67)</f>
        <v>24483951</v>
      </c>
      <c r="E68" s="135" t="n">
        <f aca="false">SUM(E56:E67)</f>
        <v>26627584</v>
      </c>
      <c r="F68" s="135" t="n">
        <f aca="false">SUM(F56:F67)</f>
        <v>23104389</v>
      </c>
      <c r="G68" s="135" t="n">
        <f aca="false">SUM(G56:G67)</f>
        <v>30123274</v>
      </c>
    </row>
    <row r="69" customFormat="false" ht="9.75" hidden="false" customHeight="true" outlineLevel="0" collapsed="false"/>
    <row r="70" customFormat="false" ht="42" hidden="false" customHeight="true" outlineLevel="0" collapsed="false">
      <c r="A70" s="21" t="s">
        <v>2354</v>
      </c>
    </row>
    <row r="71" customFormat="false" ht="33.75" hidden="false" customHeight="true" outlineLevel="0" collapsed="false">
      <c r="A71" s="16" t="s">
        <v>723</v>
      </c>
      <c r="B71" s="16" t="s">
        <v>852</v>
      </c>
      <c r="C71" s="16" t="s">
        <v>2355</v>
      </c>
      <c r="D71" s="16" t="s">
        <v>2356</v>
      </c>
      <c r="E71" s="16" t="s">
        <v>2357</v>
      </c>
      <c r="F71" s="16" t="s">
        <v>1947</v>
      </c>
    </row>
    <row r="72" customFormat="false" ht="93" hidden="false" customHeight="true" outlineLevel="0" collapsed="false">
      <c r="A72" s="124" t="s">
        <v>844</v>
      </c>
      <c r="B72" s="98" t="n">
        <v>16267916</v>
      </c>
      <c r="C72" s="98" t="n">
        <v>143432284</v>
      </c>
      <c r="D72" s="129" t="n">
        <f aca="false">B72/C72</f>
        <v>0.113418789315242</v>
      </c>
      <c r="E72" s="124" t="n">
        <v>47</v>
      </c>
      <c r="F72" s="18" t="s">
        <v>2358</v>
      </c>
    </row>
    <row r="73" customFormat="false" ht="67.5" hidden="false" customHeight="true" outlineLevel="0" collapsed="false">
      <c r="A73" s="124" t="s">
        <v>1862</v>
      </c>
      <c r="B73" s="98" t="n">
        <v>19719180</v>
      </c>
      <c r="C73" s="98" t="n">
        <v>123278165</v>
      </c>
      <c r="D73" s="129" t="n">
        <f aca="false">B73/C73</f>
        <v>0.159956793646304</v>
      </c>
      <c r="E73" s="124" t="n">
        <v>50</v>
      </c>
      <c r="F73" s="18" t="s">
        <v>2359</v>
      </c>
    </row>
    <row r="74" customFormat="false" ht="79.5" hidden="false" customHeight="true" outlineLevel="0" collapsed="false">
      <c r="A74" s="124" t="s">
        <v>1163</v>
      </c>
      <c r="B74" s="98" t="n">
        <v>22054717</v>
      </c>
      <c r="C74" s="98" t="n">
        <v>126968321</v>
      </c>
      <c r="D74" s="129" t="n">
        <f aca="false">B74/C74</f>
        <v>0.173702517496471</v>
      </c>
      <c r="E74" s="124" t="n">
        <v>50</v>
      </c>
      <c r="F74" s="18" t="s">
        <v>2360</v>
      </c>
    </row>
    <row r="75" customFormat="false" ht="105" hidden="false" customHeight="true" outlineLevel="0" collapsed="false">
      <c r="A75" s="124" t="s">
        <v>733</v>
      </c>
      <c r="B75" s="98" t="n">
        <v>24016095</v>
      </c>
      <c r="C75" s="98" t="n">
        <v>136974618</v>
      </c>
      <c r="D75" s="129" t="n">
        <f aca="false">B75/C75</f>
        <v>0.17533244735897</v>
      </c>
      <c r="E75" s="124" t="n">
        <v>54</v>
      </c>
      <c r="F75" s="18" t="s">
        <v>2361</v>
      </c>
    </row>
    <row r="76" customFormat="false" ht="180.75" hidden="false" customHeight="true" outlineLevel="0" collapsed="false">
      <c r="A76" s="124" t="s">
        <v>741</v>
      </c>
      <c r="B76" s="98" t="n">
        <v>20914310</v>
      </c>
      <c r="C76" s="98" t="n">
        <v>142193558</v>
      </c>
      <c r="D76" s="129" t="n">
        <f aca="false">B76/C76</f>
        <v>0.147083386154526</v>
      </c>
      <c r="E76" s="124" t="n">
        <v>54</v>
      </c>
      <c r="F76" s="18" t="s">
        <v>2362</v>
      </c>
    </row>
    <row r="77" customFormat="false" ht="54.75" hidden="false" customHeight="true" outlineLevel="0" collapsed="false">
      <c r="A77" s="124" t="s">
        <v>806</v>
      </c>
      <c r="B77" s="98" t="n">
        <v>27706728</v>
      </c>
      <c r="C77" s="109"/>
      <c r="D77" s="128"/>
      <c r="E77" s="124" t="n">
        <v>54</v>
      </c>
      <c r="F77" s="18" t="s">
        <v>2363</v>
      </c>
    </row>
    <row r="78" customFormat="false" ht="117.75" hidden="false" customHeight="true" outlineLevel="0" collapsed="false">
      <c r="A78" s="20" t="s">
        <v>2364</v>
      </c>
      <c r="B78" s="98" t="n">
        <v>22936000</v>
      </c>
      <c r="C78" s="98" t="n">
        <v>142006000</v>
      </c>
      <c r="D78" s="129" t="n">
        <f aca="false">B78/C78</f>
        <v>0.161514302212583</v>
      </c>
      <c r="E78" s="109"/>
      <c r="F78" s="18" t="s">
        <v>2365</v>
      </c>
    </row>
    <row r="79" customFormat="false" ht="9.75" hidden="false" customHeight="true" outlineLevel="0" collapsed="false"/>
    <row r="80" customFormat="false" ht="42" hidden="false" customHeight="true" outlineLevel="0" collapsed="false">
      <c r="A80" s="19" t="s">
        <v>2366</v>
      </c>
      <c r="B80" s="19"/>
      <c r="C80" s="19"/>
      <c r="D80" s="19"/>
      <c r="E80" s="19"/>
      <c r="F80" s="19"/>
      <c r="G80" s="19"/>
      <c r="H80" s="19"/>
      <c r="I80" s="19"/>
      <c r="J80" s="19"/>
    </row>
    <row r="81" customFormat="false" ht="9.75" hidden="false" customHeight="true" outlineLevel="0" collapsed="false"/>
    <row r="82" customFormat="false" ht="42" hidden="false" customHeight="true" outlineLevel="0" collapsed="false">
      <c r="A82" s="21" t="s">
        <v>2367</v>
      </c>
    </row>
    <row r="83" customFormat="false" ht="24" hidden="false" customHeight="true" outlineLevel="0" collapsed="false">
      <c r="A83" s="16" t="s">
        <v>2368</v>
      </c>
      <c r="B83" s="16" t="s">
        <v>844</v>
      </c>
      <c r="C83" s="16" t="s">
        <v>1862</v>
      </c>
      <c r="D83" s="16" t="s">
        <v>1163</v>
      </c>
      <c r="E83" s="16" t="s">
        <v>733</v>
      </c>
      <c r="F83" s="16" t="s">
        <v>741</v>
      </c>
      <c r="G83" s="16" t="s">
        <v>806</v>
      </c>
      <c r="H83" s="16" t="s">
        <v>2299</v>
      </c>
      <c r="I83" s="16" t="s">
        <v>2339</v>
      </c>
    </row>
    <row r="84" customFormat="false" ht="15" hidden="false" customHeight="true" outlineLevel="0" collapsed="false">
      <c r="A84" s="97" t="s">
        <v>2369</v>
      </c>
      <c r="B84" s="98" t="n">
        <v>12514692</v>
      </c>
      <c r="C84" s="98" t="n">
        <v>15099744</v>
      </c>
      <c r="D84" s="98" t="n">
        <v>16331143</v>
      </c>
      <c r="E84" s="98" t="n">
        <v>17585742</v>
      </c>
      <c r="F84" s="98" t="n">
        <v>15203669</v>
      </c>
      <c r="G84" s="98" t="n">
        <v>18620902</v>
      </c>
      <c r="H84" s="99" t="n">
        <f aca="false">B84/B$88</f>
        <v>0.717105985830691</v>
      </c>
      <c r="I84" s="99" t="n">
        <f aca="false">G84/G$88</f>
        <v>0.656502627346438</v>
      </c>
    </row>
    <row r="85" customFormat="false" ht="16.5" hidden="false" customHeight="true" outlineLevel="0" collapsed="false">
      <c r="A85" s="9" t="s">
        <v>2370</v>
      </c>
      <c r="B85" s="98" t="n">
        <v>4562512</v>
      </c>
      <c r="C85" s="98" t="n">
        <v>5399074</v>
      </c>
      <c r="D85" s="98" t="n">
        <v>6541606</v>
      </c>
      <c r="E85" s="98" t="n">
        <v>7190541</v>
      </c>
      <c r="F85" s="98" t="n">
        <v>6217885</v>
      </c>
      <c r="G85" s="98" t="n">
        <v>9350263</v>
      </c>
      <c r="H85" s="99" t="n">
        <f aca="false">B85/B$88</f>
        <v>0.261437090551198</v>
      </c>
      <c r="I85" s="99" t="n">
        <f aca="false">G85/G$88</f>
        <v>0.329654934324889</v>
      </c>
    </row>
    <row r="86" customFormat="false" ht="16.5" hidden="false" customHeight="true" outlineLevel="0" collapsed="false">
      <c r="A86" s="9" t="s">
        <v>2371</v>
      </c>
      <c r="B86" s="98" t="n">
        <v>290274</v>
      </c>
      <c r="C86" s="98" t="n">
        <v>297186</v>
      </c>
      <c r="D86" s="98" t="n">
        <v>353517</v>
      </c>
      <c r="E86" s="98" t="n">
        <v>345407</v>
      </c>
      <c r="F86" s="98" t="n">
        <v>259039</v>
      </c>
      <c r="G86" s="98" t="n">
        <v>277726</v>
      </c>
      <c r="H86" s="99" t="n">
        <f aca="false">B86/B$88</f>
        <v>0.0166330280386459</v>
      </c>
      <c r="I86" s="99" t="n">
        <f aca="false">G86/G$88</f>
        <v>0.0097915691024214</v>
      </c>
    </row>
    <row r="87" customFormat="false" ht="16.5" hidden="false" customHeight="true" outlineLevel="0" collapsed="false">
      <c r="A87" s="9" t="s">
        <v>2372</v>
      </c>
      <c r="B87" s="98" t="n">
        <v>84185</v>
      </c>
      <c r="C87" s="98" t="n">
        <v>90818</v>
      </c>
      <c r="D87" s="98" t="n">
        <v>92328</v>
      </c>
      <c r="E87" s="98" t="n">
        <v>101260</v>
      </c>
      <c r="F87" s="98" t="n">
        <v>76794</v>
      </c>
      <c r="G87" s="98" t="n">
        <v>114898</v>
      </c>
      <c r="H87" s="99" t="n">
        <f aca="false">B87/B$88</f>
        <v>0.00482389557946426</v>
      </c>
      <c r="I87" s="99" t="n">
        <f aca="false">G87/G$88</f>
        <v>0.00405086922625182</v>
      </c>
    </row>
    <row r="88" customFormat="false" ht="15" hidden="false" customHeight="true" outlineLevel="0" collapsed="false">
      <c r="A88" s="20" t="s">
        <v>548</v>
      </c>
      <c r="B88" s="135" t="n">
        <f aca="false">SUM(B84:B87)</f>
        <v>17451663</v>
      </c>
      <c r="C88" s="135" t="n">
        <f aca="false">SUM(C84:C87)</f>
        <v>20886822</v>
      </c>
      <c r="D88" s="135" t="n">
        <f aca="false">SUM(D84:D87)</f>
        <v>23318594</v>
      </c>
      <c r="E88" s="135" t="n">
        <f aca="false">SUM(E84:E87)</f>
        <v>25222950</v>
      </c>
      <c r="F88" s="135" t="n">
        <f aca="false">SUM(F84:F87)</f>
        <v>21757387</v>
      </c>
      <c r="G88" s="135" t="n">
        <f aca="false">SUM(G84:G87)</f>
        <v>28363789</v>
      </c>
    </row>
    <row r="89" customFormat="false" ht="9.75" hidden="false" customHeight="true" outlineLevel="0" collapsed="false"/>
    <row r="90" customFormat="false" ht="30" hidden="false" customHeight="true" outlineLevel="0" collapsed="false">
      <c r="A90" s="19" t="s">
        <v>2373</v>
      </c>
      <c r="B90" s="19"/>
      <c r="C90" s="19"/>
      <c r="D90" s="19"/>
      <c r="E90" s="19"/>
      <c r="F90" s="19"/>
      <c r="G90" s="19"/>
      <c r="H90" s="19"/>
      <c r="I90" s="19"/>
      <c r="J90" s="19"/>
    </row>
    <row r="92" customFormat="false" ht="15" hidden="false" customHeight="true" outlineLevel="0" collapsed="false">
      <c r="A92" s="136" t="s">
        <v>2374</v>
      </c>
    </row>
    <row r="93" customFormat="false" ht="30" hidden="false" customHeight="true" outlineLevel="0" collapsed="false">
      <c r="A93" s="5" t="s">
        <v>2375</v>
      </c>
      <c r="B93" s="5"/>
      <c r="C93" s="5"/>
      <c r="D93" s="5"/>
      <c r="E93" s="5"/>
      <c r="F93" s="5"/>
      <c r="G93" s="5"/>
      <c r="H93" s="5"/>
    </row>
  </sheetData>
  <mergeCells count="10">
    <mergeCell ref="A1:J1"/>
    <mergeCell ref="A2:J2"/>
    <mergeCell ref="A11:J11"/>
    <mergeCell ref="A13:J13"/>
    <mergeCell ref="A51:J51"/>
    <mergeCell ref="A52:J52"/>
    <mergeCell ref="A54:J54"/>
    <mergeCell ref="A80:J80"/>
    <mergeCell ref="A90:J90"/>
    <mergeCell ref="A93:H93"/>
  </mergeCells>
  <printOptions headings="false" gridLines="false" gridLinesSet="true" horizontalCentered="false" verticalCentered="false"/>
  <pageMargins left="0.75" right="0.75" top="1" bottom="1" header="0.511811023622047" footer="0.511805555555556"/>
  <pageSetup paperSize="5" scale="100" fitToWidth="1" fitToHeight="0" pageOrder="downThenOver" orientation="landscape" blackAndWhite="false" draft="false" cellComments="none" horizontalDpi="300" verticalDpi="300" copies="1"/>
  <headerFooter differentFirst="false" differentOddEven="false">
    <oddHeader/>
    <oddFooter>&amp;L&amp;8 IFT Sourced Evidence Master  |  verified 09 July 2026&amp;R&amp;8 &amp;A  |  page &amp;P of &amp;N</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F8B"/>
    <pageSetUpPr fitToPage="true"/>
  </sheetPr>
  <dimension ref="A1:I89"/>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4" min="2" style="1" width="18"/>
    <col collapsed="false" customWidth="true" hidden="false" outlineLevel="0" max="7" min="5" style="1" width="10"/>
    <col collapsed="false" customWidth="true" hidden="false" outlineLevel="0" max="8" min="8" style="1" width="14"/>
    <col collapsed="false" customWidth="true" hidden="false" outlineLevel="0" max="9" min="9" style="1" width="16"/>
  </cols>
  <sheetData>
    <row r="1" customFormat="false" ht="24" hidden="false" customHeight="true" outlineLevel="0" collapsed="false">
      <c r="A1" s="14" t="s">
        <v>2376</v>
      </c>
      <c r="B1" s="14"/>
      <c r="C1" s="14"/>
      <c r="D1" s="14"/>
      <c r="E1" s="14"/>
      <c r="F1" s="14"/>
      <c r="G1" s="14"/>
      <c r="H1" s="14"/>
      <c r="I1" s="14"/>
    </row>
    <row r="2" customFormat="false" ht="42" hidden="false" customHeight="true" outlineLevel="0" collapsed="false">
      <c r="A2" s="3" t="s">
        <v>2377</v>
      </c>
      <c r="B2" s="3"/>
      <c r="C2" s="3"/>
      <c r="D2" s="3"/>
      <c r="E2" s="3"/>
      <c r="F2" s="3"/>
      <c r="G2" s="3"/>
      <c r="H2" s="3"/>
      <c r="I2" s="3"/>
    </row>
    <row r="3" customFormat="false" ht="13.5" hidden="false" customHeight="true" outlineLevel="0" collapsed="false"/>
    <row r="4" customFormat="false" ht="19.5" hidden="false" customHeight="true" outlineLevel="0" collapsed="false">
      <c r="A4" s="15" t="s">
        <v>2378</v>
      </c>
      <c r="B4" s="15"/>
      <c r="C4" s="15"/>
      <c r="D4" s="15"/>
      <c r="E4" s="15"/>
      <c r="F4" s="15"/>
      <c r="G4" s="15"/>
      <c r="H4" s="15"/>
      <c r="I4" s="15"/>
    </row>
    <row r="5" customFormat="false" ht="30" hidden="false" customHeight="true" outlineLevel="0" collapsed="false">
      <c r="A5" s="16" t="s">
        <v>2379</v>
      </c>
      <c r="B5" s="16" t="s">
        <v>2380</v>
      </c>
      <c r="C5" s="16" t="s">
        <v>2381</v>
      </c>
      <c r="D5" s="16" t="s">
        <v>2382</v>
      </c>
      <c r="E5" s="16" t="s">
        <v>2383</v>
      </c>
      <c r="F5" s="16" t="s">
        <v>2384</v>
      </c>
      <c r="G5" s="16" t="s">
        <v>2385</v>
      </c>
    </row>
    <row r="6" customFormat="false" ht="30" hidden="false" customHeight="true" outlineLevel="0" collapsed="false">
      <c r="A6" s="124" t="s">
        <v>2386</v>
      </c>
      <c r="B6" s="97" t="s">
        <v>2387</v>
      </c>
      <c r="C6" s="98" t="n">
        <v>4205885</v>
      </c>
      <c r="D6" s="98" t="n">
        <v>3943393</v>
      </c>
      <c r="E6" s="98" t="n">
        <v>3898360</v>
      </c>
      <c r="F6" s="99" t="n">
        <f aca="false">E6/E$19</f>
        <v>0.366465505271944</v>
      </c>
      <c r="G6" s="129" t="n">
        <f aca="false">(E6/C6)^(1/2)-1</f>
        <v>-0.0372527778017976</v>
      </c>
    </row>
    <row r="7" customFormat="false" ht="15" hidden="false" customHeight="true" outlineLevel="0" collapsed="false">
      <c r="A7" s="124" t="s">
        <v>2388</v>
      </c>
      <c r="B7" s="97" t="s">
        <v>2389</v>
      </c>
      <c r="C7" s="98" t="n">
        <v>1302158</v>
      </c>
      <c r="D7" s="98" t="n">
        <v>1264678</v>
      </c>
      <c r="E7" s="98" t="n">
        <v>1241883</v>
      </c>
      <c r="F7" s="99" t="n">
        <f aca="false">E7/E$19</f>
        <v>0.116743266677176</v>
      </c>
      <c r="G7" s="129" t="n">
        <f aca="false">(E7/C7)^(1/2)-1</f>
        <v>-0.0234184855474887</v>
      </c>
    </row>
    <row r="8" customFormat="false" ht="15" hidden="false" customHeight="true" outlineLevel="0" collapsed="false">
      <c r="A8" s="124" t="s">
        <v>2390</v>
      </c>
      <c r="B8" s="97" t="s">
        <v>2391</v>
      </c>
      <c r="C8" s="98" t="n">
        <v>1078203</v>
      </c>
      <c r="D8" s="98" t="n">
        <v>1125101</v>
      </c>
      <c r="E8" s="98" t="n">
        <v>1156363</v>
      </c>
      <c r="F8" s="99" t="n">
        <f aca="false">E8/E$19</f>
        <v>0.108703955271648</v>
      </c>
      <c r="G8" s="129" t="n">
        <f aca="false">(E8/C8)^(1/2)-1</f>
        <v>0.0356114074877287</v>
      </c>
    </row>
    <row r="9" customFormat="false" ht="15" hidden="false" customHeight="true" outlineLevel="0" collapsed="false">
      <c r="A9" s="124" t="s">
        <v>2392</v>
      </c>
      <c r="B9" s="97" t="s">
        <v>2393</v>
      </c>
      <c r="C9" s="98" t="n">
        <v>931587</v>
      </c>
      <c r="D9" s="98" t="n">
        <v>908562</v>
      </c>
      <c r="E9" s="98" t="n">
        <v>903261</v>
      </c>
      <c r="F9" s="99" t="n">
        <f aca="false">E9/E$19</f>
        <v>0.0849110904989384</v>
      </c>
      <c r="G9" s="129" t="n">
        <f aca="false">(E9/C9)^(1/2)-1</f>
        <v>-0.015320446970134</v>
      </c>
    </row>
    <row r="10" customFormat="false" ht="30" hidden="false" customHeight="true" outlineLevel="0" collapsed="false">
      <c r="A10" s="124" t="s">
        <v>2394</v>
      </c>
      <c r="B10" s="97" t="s">
        <v>2395</v>
      </c>
      <c r="C10" s="98" t="n">
        <v>825178</v>
      </c>
      <c r="D10" s="98" t="n">
        <v>837422</v>
      </c>
      <c r="E10" s="98" t="n">
        <v>871753</v>
      </c>
      <c r="F10" s="99" t="n">
        <f aca="false">E10/E$19</f>
        <v>0.0819491795568734</v>
      </c>
      <c r="G10" s="129" t="n">
        <f aca="false">(E10/C10)^(1/2)-1</f>
        <v>0.0278338229432542</v>
      </c>
    </row>
    <row r="11" customFormat="false" ht="42" hidden="false" customHeight="true" outlineLevel="0" collapsed="false">
      <c r="A11" s="124" t="s">
        <v>2396</v>
      </c>
      <c r="B11" s="9" t="s">
        <v>2397</v>
      </c>
      <c r="C11" s="98" t="n">
        <v>573302</v>
      </c>
      <c r="D11" s="98" t="n">
        <v>573609</v>
      </c>
      <c r="E11" s="98" t="n">
        <v>585441</v>
      </c>
      <c r="F11" s="99" t="n">
        <f aca="false">E11/E$19</f>
        <v>0.0550344072563622</v>
      </c>
      <c r="G11" s="129" t="n">
        <f aca="false">(E11/C11)^(1/2)-1</f>
        <v>0.0105314599719901</v>
      </c>
    </row>
    <row r="12" customFormat="false" ht="30" hidden="false" customHeight="true" outlineLevel="0" collapsed="false">
      <c r="A12" s="124" t="s">
        <v>2398</v>
      </c>
      <c r="B12" s="97" t="s">
        <v>2399</v>
      </c>
      <c r="C12" s="98" t="n">
        <v>506160</v>
      </c>
      <c r="D12" s="98" t="n">
        <v>474626</v>
      </c>
      <c r="E12" s="98" t="n">
        <v>480971</v>
      </c>
      <c r="F12" s="99" t="n">
        <f aca="false">E12/E$19</f>
        <v>0.0452137002575832</v>
      </c>
      <c r="G12" s="129" t="n">
        <f aca="false">(E12/C12)^(1/2)-1</f>
        <v>-0.0251999674166106</v>
      </c>
    </row>
    <row r="13" customFormat="false" ht="42" hidden="false" customHeight="true" outlineLevel="0" collapsed="false">
      <c r="A13" s="124" t="s">
        <v>2400</v>
      </c>
      <c r="B13" s="9" t="s">
        <v>2401</v>
      </c>
      <c r="C13" s="98" t="n">
        <v>291045</v>
      </c>
      <c r="D13" s="98" t="n">
        <v>301141</v>
      </c>
      <c r="E13" s="98" t="n">
        <v>319041</v>
      </c>
      <c r="F13" s="99" t="n">
        <f aca="false">E13/E$19</f>
        <v>0.0299914634019091</v>
      </c>
      <c r="G13" s="129" t="n">
        <f aca="false">(E13/C13)^(1/2)-1</f>
        <v>0.0469915523164781</v>
      </c>
    </row>
    <row r="14" customFormat="false" ht="42" hidden="false" customHeight="true" outlineLevel="0" collapsed="false">
      <c r="A14" s="124" t="s">
        <v>2402</v>
      </c>
      <c r="B14" s="9" t="s">
        <v>2403</v>
      </c>
      <c r="C14" s="98" t="n">
        <v>314892</v>
      </c>
      <c r="D14" s="98" t="n">
        <v>224383</v>
      </c>
      <c r="E14" s="98" t="n">
        <v>214296</v>
      </c>
      <c r="F14" s="99" t="n">
        <f aca="false">E14/E$19</f>
        <v>0.020144905015893</v>
      </c>
      <c r="G14" s="129" t="n">
        <f aca="false">(E14/C14)^(1/2)-1</f>
        <v>-0.175052674863633</v>
      </c>
    </row>
    <row r="15" customFormat="false" ht="42" hidden="false" customHeight="true" outlineLevel="0" collapsed="false">
      <c r="A15" s="124" t="s">
        <v>2404</v>
      </c>
      <c r="B15" s="9" t="s">
        <v>2405</v>
      </c>
      <c r="C15" s="98" t="n">
        <v>312327</v>
      </c>
      <c r="D15" s="98" t="n">
        <v>221704</v>
      </c>
      <c r="E15" s="98" t="n">
        <v>210479</v>
      </c>
      <c r="F15" s="99" t="n">
        <f aca="false">E15/E$19</f>
        <v>0.0197860877610414</v>
      </c>
      <c r="G15" s="129" t="n">
        <f aca="false">(E15/C15)^(1/2)-1</f>
        <v>-0.179082297491394</v>
      </c>
    </row>
    <row r="16" customFormat="false" ht="30" hidden="false" customHeight="true" outlineLevel="0" collapsed="false">
      <c r="A16" s="124" t="s">
        <v>2406</v>
      </c>
      <c r="B16" s="9" t="s">
        <v>2407</v>
      </c>
      <c r="C16" s="98" t="n">
        <v>231910</v>
      </c>
      <c r="D16" s="98" t="n">
        <v>189813</v>
      </c>
      <c r="E16" s="98" t="n">
        <v>181501</v>
      </c>
      <c r="F16" s="99" t="n">
        <f aca="false">E16/E$19</f>
        <v>0.0170620095815582</v>
      </c>
      <c r="G16" s="129" t="n">
        <f aca="false">(E16/C16)^(1/2)-1</f>
        <v>-0.115333110627022</v>
      </c>
    </row>
    <row r="17" customFormat="false" ht="30" hidden="false" customHeight="true" outlineLevel="0" collapsed="false">
      <c r="A17" s="124" t="s">
        <v>2408</v>
      </c>
      <c r="B17" s="9" t="s">
        <v>2409</v>
      </c>
      <c r="C17" s="98" t="n">
        <v>227903</v>
      </c>
      <c r="D17" s="98" t="n">
        <v>186058</v>
      </c>
      <c r="E17" s="98" t="n">
        <v>177064</v>
      </c>
      <c r="F17" s="99" t="n">
        <f aca="false">E17/E$19</f>
        <v>0.0166449091991174</v>
      </c>
      <c r="G17" s="129" t="n">
        <f aca="false">(E17/C17)^(1/2)-1</f>
        <v>-0.118565359217386</v>
      </c>
    </row>
    <row r="18" customFormat="false" ht="30" hidden="false" customHeight="true" outlineLevel="0" collapsed="false">
      <c r="A18" s="137"/>
      <c r="B18" s="9" t="s">
        <v>2410</v>
      </c>
      <c r="C18" s="98" t="n">
        <v>458437</v>
      </c>
      <c r="D18" s="98" t="n">
        <v>420553</v>
      </c>
      <c r="E18" s="98" t="n">
        <v>397314</v>
      </c>
      <c r="F18" s="99" t="n">
        <f aca="false">E18/E$19</f>
        <v>0.0373495202499557</v>
      </c>
      <c r="G18" s="129" t="n">
        <f aca="false">(E18/C18)^(1/2)-1</f>
        <v>-0.0690483987367417</v>
      </c>
    </row>
    <row r="19" customFormat="false" ht="30" hidden="false" customHeight="true" outlineLevel="0" collapsed="false">
      <c r="A19" s="109"/>
      <c r="B19" s="8" t="s">
        <v>2411</v>
      </c>
      <c r="C19" s="135" t="n">
        <f aca="false">SUM(C6:C18)</f>
        <v>11258987</v>
      </c>
      <c r="D19" s="135" t="n">
        <f aca="false">SUM(D6:D18)</f>
        <v>10671043</v>
      </c>
      <c r="E19" s="135" t="n">
        <f aca="false">SUM(E6:E18)</f>
        <v>10637727</v>
      </c>
      <c r="F19" s="109"/>
      <c r="G19" s="138" t="n">
        <f aca="false">(E19/C19)^(1/2)-1</f>
        <v>-0.0279809835441639</v>
      </c>
    </row>
    <row r="20" customFormat="false" ht="30" hidden="false" customHeight="true" outlineLevel="0" collapsed="false">
      <c r="A20" s="19" t="s">
        <v>2412</v>
      </c>
      <c r="B20" s="19"/>
      <c r="C20" s="19"/>
      <c r="D20" s="19"/>
      <c r="E20" s="19"/>
      <c r="F20" s="19"/>
      <c r="G20" s="19"/>
      <c r="H20" s="19"/>
      <c r="I20" s="19"/>
    </row>
    <row r="21" customFormat="false" ht="9.75" hidden="false" customHeight="true" outlineLevel="0" collapsed="false"/>
    <row r="22" customFormat="false" ht="30" hidden="false" customHeight="true" outlineLevel="0" collapsed="false">
      <c r="A22" s="15" t="s">
        <v>2413</v>
      </c>
      <c r="B22" s="15"/>
      <c r="C22" s="15"/>
      <c r="D22" s="15"/>
      <c r="E22" s="15"/>
      <c r="F22" s="15"/>
      <c r="G22" s="15"/>
      <c r="H22" s="15"/>
      <c r="I22" s="15"/>
    </row>
    <row r="23" customFormat="false" ht="24" hidden="false" customHeight="true" outlineLevel="0" collapsed="false">
      <c r="A23" s="16" t="s">
        <v>2414</v>
      </c>
      <c r="B23" s="16" t="s">
        <v>2415</v>
      </c>
      <c r="C23" s="16" t="s">
        <v>901</v>
      </c>
      <c r="D23" s="16" t="s">
        <v>733</v>
      </c>
      <c r="E23" s="16" t="s">
        <v>741</v>
      </c>
      <c r="F23" s="16" t="s">
        <v>806</v>
      </c>
      <c r="G23" s="16" t="s">
        <v>2416</v>
      </c>
      <c r="H23" s="16" t="s">
        <v>2385</v>
      </c>
    </row>
    <row r="24" customFormat="false" ht="15" hidden="false" customHeight="true" outlineLevel="0" collapsed="false">
      <c r="A24" s="124" t="s">
        <v>2417</v>
      </c>
      <c r="B24" s="97" t="s">
        <v>2418</v>
      </c>
      <c r="C24" s="103" t="n">
        <v>1</v>
      </c>
      <c r="D24" s="98" t="n">
        <v>332034</v>
      </c>
      <c r="E24" s="98" t="n">
        <v>328609</v>
      </c>
      <c r="F24" s="98" t="n">
        <v>338316</v>
      </c>
      <c r="G24" s="99" t="n">
        <f aca="false">F24/F$30</f>
        <v>0.388086992531141</v>
      </c>
      <c r="H24" s="129" t="n">
        <f aca="false">(F24/D24)^(1/2)-1</f>
        <v>0.0094155483161098</v>
      </c>
    </row>
    <row r="25" customFormat="false" ht="30" hidden="false" customHeight="true" outlineLevel="0" collapsed="false">
      <c r="A25" s="124" t="s">
        <v>2419</v>
      </c>
      <c r="B25" s="97" t="s">
        <v>2420</v>
      </c>
      <c r="C25" s="103" t="n">
        <v>1.2</v>
      </c>
      <c r="D25" s="98" t="n">
        <v>203050</v>
      </c>
      <c r="E25" s="98" t="n">
        <v>199890</v>
      </c>
      <c r="F25" s="98" t="n">
        <v>205099</v>
      </c>
      <c r="G25" s="99" t="n">
        <f aca="false">F25/F$30</f>
        <v>0.235271917618867</v>
      </c>
      <c r="H25" s="129" t="n">
        <f aca="false">(F25/D25)^(1/2)-1</f>
        <v>0.00503289028961662</v>
      </c>
    </row>
    <row r="26" customFormat="false" ht="15" hidden="false" customHeight="true" outlineLevel="0" collapsed="false">
      <c r="A26" s="124" t="s">
        <v>2421</v>
      </c>
      <c r="B26" s="97" t="s">
        <v>2422</v>
      </c>
      <c r="C26" s="103" t="n">
        <v>1.9</v>
      </c>
      <c r="D26" s="98" t="n">
        <v>152805</v>
      </c>
      <c r="E26" s="98" t="n">
        <v>163766</v>
      </c>
      <c r="F26" s="98" t="n">
        <v>172820</v>
      </c>
      <c r="G26" s="99" t="n">
        <f aca="false">F26/F$30</f>
        <v>0.198244227435982</v>
      </c>
      <c r="H26" s="129" t="n">
        <f aca="false">(F26/D26)^(1/2)-1</f>
        <v>0.0634772840882878</v>
      </c>
    </row>
    <row r="27" customFormat="false" ht="15" hidden="false" customHeight="true" outlineLevel="0" collapsed="false">
      <c r="A27" s="124" t="s">
        <v>2423</v>
      </c>
      <c r="B27" s="97" t="s">
        <v>2424</v>
      </c>
      <c r="C27" s="103" t="n">
        <v>1.6</v>
      </c>
      <c r="D27" s="98" t="n">
        <v>76531</v>
      </c>
      <c r="E27" s="98" t="n">
        <v>83080</v>
      </c>
      <c r="F27" s="98" t="n">
        <v>91660</v>
      </c>
      <c r="G27" s="99" t="n">
        <f aca="false">F27/F$30</f>
        <v>0.105144461791356</v>
      </c>
      <c r="H27" s="129" t="n">
        <f aca="false">(F27/D27)^(1/2)-1</f>
        <v>0.0943877733226166</v>
      </c>
    </row>
    <row r="28" customFormat="false" ht="30" hidden="false" customHeight="true" outlineLevel="0" collapsed="false">
      <c r="A28" s="124" t="s">
        <v>2425</v>
      </c>
      <c r="B28" s="9" t="s">
        <v>1997</v>
      </c>
      <c r="C28" s="103" t="n">
        <v>3.25</v>
      </c>
      <c r="D28" s="98" t="n">
        <v>53950</v>
      </c>
      <c r="E28" s="98" t="n">
        <v>55845</v>
      </c>
      <c r="F28" s="98" t="n">
        <v>57906</v>
      </c>
      <c r="G28" s="99" t="n">
        <f aca="false">F28/F$30</f>
        <v>0.0664247785783358</v>
      </c>
      <c r="H28" s="129" t="n">
        <f aca="false">(F28/D28)^(1/2)-1</f>
        <v>0.036015035978213</v>
      </c>
    </row>
    <row r="29" customFormat="false" ht="15" hidden="false" customHeight="true" outlineLevel="0" collapsed="false">
      <c r="A29" s="124" t="s">
        <v>2426</v>
      </c>
      <c r="B29" s="97" t="s">
        <v>1996</v>
      </c>
      <c r="C29" s="103" t="n">
        <v>2.75</v>
      </c>
      <c r="D29" s="98" t="n">
        <v>6808</v>
      </c>
      <c r="E29" s="98" t="n">
        <v>6232</v>
      </c>
      <c r="F29" s="98" t="n">
        <v>5952</v>
      </c>
      <c r="G29" s="99" t="n">
        <f aca="false">F29/F$30</f>
        <v>0.0068276220443176</v>
      </c>
      <c r="H29" s="129" t="n">
        <f aca="false">(F29/D29)^(1/2)-1</f>
        <v>-0.0649783051085158</v>
      </c>
    </row>
    <row r="30" customFormat="false" ht="30" hidden="false" customHeight="true" outlineLevel="0" collapsed="false">
      <c r="A30" s="109"/>
      <c r="B30" s="8" t="s">
        <v>2427</v>
      </c>
      <c r="C30" s="109"/>
      <c r="D30" s="135" t="n">
        <f aca="false">SUM(D24:D29)</f>
        <v>825178</v>
      </c>
      <c r="E30" s="135" t="n">
        <f aca="false">SUM(E24:E29)</f>
        <v>837422</v>
      </c>
      <c r="F30" s="135" t="n">
        <f aca="false">SUM(F24:F29)</f>
        <v>871753</v>
      </c>
      <c r="G30" s="109"/>
      <c r="H30" s="138" t="n">
        <f aca="false">(F30/D30)^(1/2)-1</f>
        <v>0.0278338229432542</v>
      </c>
    </row>
    <row r="31" customFormat="false" ht="9.75" hidden="false" customHeight="true" outlineLevel="0" collapsed="false"/>
    <row r="32" customFormat="false" ht="19.5" hidden="false" customHeight="true" outlineLevel="0" collapsed="false">
      <c r="A32" s="15" t="s">
        <v>2428</v>
      </c>
      <c r="B32" s="15"/>
      <c r="C32" s="15"/>
      <c r="D32" s="15"/>
      <c r="E32" s="15"/>
      <c r="F32" s="15"/>
      <c r="G32" s="15"/>
      <c r="H32" s="15"/>
      <c r="I32" s="15"/>
    </row>
    <row r="33" customFormat="false" ht="24" hidden="false" customHeight="true" outlineLevel="0" collapsed="false">
      <c r="A33" s="16" t="s">
        <v>1902</v>
      </c>
      <c r="B33" s="16" t="s">
        <v>2429</v>
      </c>
      <c r="C33" s="16" t="s">
        <v>725</v>
      </c>
      <c r="D33" s="16" t="s">
        <v>583</v>
      </c>
    </row>
    <row r="34" customFormat="false" ht="130.5" hidden="false" customHeight="true" outlineLevel="0" collapsed="false">
      <c r="A34" s="9" t="s">
        <v>2430</v>
      </c>
      <c r="B34" s="99" t="n">
        <f aca="false">(F24+F25)/F30</f>
        <v>0.623358910150008</v>
      </c>
      <c r="C34" s="17" t="s">
        <v>751</v>
      </c>
      <c r="D34" s="18" t="s">
        <v>2431</v>
      </c>
    </row>
    <row r="35" customFormat="false" ht="142.5" hidden="false" customHeight="true" outlineLevel="0" collapsed="false">
      <c r="A35" s="9" t="s">
        <v>2432</v>
      </c>
      <c r="B35" s="99" t="n">
        <f aca="false">F28/F30</f>
        <v>0.0664247785783358</v>
      </c>
      <c r="C35" s="17" t="s">
        <v>751</v>
      </c>
      <c r="D35" s="18" t="s">
        <v>2433</v>
      </c>
    </row>
    <row r="36" customFormat="false" ht="130.5" hidden="false" customHeight="true" outlineLevel="0" collapsed="false">
      <c r="A36" s="97" t="s">
        <v>2434</v>
      </c>
      <c r="B36" s="99" t="n">
        <f aca="false">F29/F30</f>
        <v>0.0068276220443176</v>
      </c>
      <c r="C36" s="17" t="s">
        <v>751</v>
      </c>
      <c r="D36" s="18" t="s">
        <v>2435</v>
      </c>
    </row>
    <row r="37" customFormat="false" ht="130.5" hidden="false" customHeight="true" outlineLevel="0" collapsed="false">
      <c r="A37" s="9" t="s">
        <v>2436</v>
      </c>
      <c r="B37" s="99" t="n">
        <f aca="false">(F26+F27)/F30</f>
        <v>0.303388689227338</v>
      </c>
      <c r="C37" s="17" t="s">
        <v>751</v>
      </c>
      <c r="D37" s="18" t="s">
        <v>2437</v>
      </c>
    </row>
    <row r="38" customFormat="false" ht="193.5" hidden="false" customHeight="true" outlineLevel="0" collapsed="false">
      <c r="A38" s="9" t="s">
        <v>2438</v>
      </c>
      <c r="B38" s="139" t="n">
        <f aca="false">SUMPRODUCT(C24:C29,F24:F29)/F30</f>
        <v>1.44996495566978</v>
      </c>
      <c r="C38" s="17" t="s">
        <v>751</v>
      </c>
      <c r="D38" s="18" t="s">
        <v>2439</v>
      </c>
    </row>
    <row r="39" customFormat="false" ht="117.75" hidden="false" customHeight="true" outlineLevel="0" collapsed="false">
      <c r="A39" s="9" t="s">
        <v>2440</v>
      </c>
      <c r="B39" s="129" t="n">
        <f aca="false">(F30/D30)^(1/2)-1</f>
        <v>0.0278338229432542</v>
      </c>
      <c r="C39" s="17" t="s">
        <v>751</v>
      </c>
      <c r="D39" s="18" t="s">
        <v>2441</v>
      </c>
    </row>
    <row r="40" customFormat="false" ht="142.5" hidden="false" customHeight="true" outlineLevel="0" collapsed="false">
      <c r="A40" s="9" t="s">
        <v>2442</v>
      </c>
      <c r="B40" s="129" t="n">
        <f aca="false">(E19/C19)^(1/2)-1</f>
        <v>-0.0279809835441639</v>
      </c>
      <c r="C40" s="17" t="s">
        <v>751</v>
      </c>
      <c r="D40" s="18" t="s">
        <v>2443</v>
      </c>
    </row>
    <row r="41" customFormat="false" ht="9.75" hidden="false" customHeight="true" outlineLevel="0" collapsed="false"/>
    <row r="42" customFormat="false" ht="42" hidden="false" customHeight="true" outlineLevel="0" collapsed="false">
      <c r="A42" s="19" t="s">
        <v>2444</v>
      </c>
      <c r="B42" s="19"/>
      <c r="C42" s="19"/>
      <c r="D42" s="19"/>
      <c r="E42" s="19"/>
      <c r="F42" s="19"/>
      <c r="G42" s="19"/>
      <c r="H42" s="19"/>
      <c r="I42" s="19"/>
    </row>
    <row r="43" customFormat="false" ht="9.75" hidden="false" customHeight="true" outlineLevel="0" collapsed="false"/>
    <row r="44" customFormat="false" ht="30" hidden="false" customHeight="true" outlineLevel="0" collapsed="false">
      <c r="A44" s="15" t="s">
        <v>2445</v>
      </c>
      <c r="B44" s="15"/>
      <c r="C44" s="15"/>
      <c r="D44" s="15"/>
      <c r="E44" s="15"/>
      <c r="F44" s="15"/>
      <c r="G44" s="15"/>
      <c r="H44" s="15"/>
      <c r="I44" s="15"/>
    </row>
    <row r="45" customFormat="false" ht="33.75" hidden="false" customHeight="true" outlineLevel="0" collapsed="false">
      <c r="A45" s="16" t="s">
        <v>2414</v>
      </c>
      <c r="B45" s="16" t="s">
        <v>2415</v>
      </c>
      <c r="C45" s="16" t="s">
        <v>901</v>
      </c>
      <c r="D45" s="16" t="s">
        <v>2446</v>
      </c>
      <c r="E45" s="16" t="s">
        <v>2447</v>
      </c>
      <c r="F45" s="16" t="s">
        <v>2448</v>
      </c>
      <c r="G45" s="16" t="s">
        <v>2449</v>
      </c>
      <c r="H45" s="16" t="s">
        <v>2450</v>
      </c>
      <c r="I45" s="16" t="s">
        <v>2451</v>
      </c>
    </row>
    <row r="46" customFormat="false" ht="15" hidden="false" customHeight="true" outlineLevel="0" collapsed="false">
      <c r="A46" s="124" t="s">
        <v>2417</v>
      </c>
      <c r="B46" s="17" t="s">
        <v>2418</v>
      </c>
      <c r="C46" s="103" t="n">
        <v>1</v>
      </c>
      <c r="D46" s="98" t="n">
        <v>338316</v>
      </c>
      <c r="E46" s="100" t="n">
        <v>84341333.7</v>
      </c>
      <c r="F46" s="140" t="n">
        <f aca="false">E46/D46</f>
        <v>249.297502039513</v>
      </c>
      <c r="G46" s="99" t="n">
        <f aca="false">D46/D$52</f>
        <v>0.388086992531141</v>
      </c>
      <c r="H46" s="99" t="n">
        <f aca="false">E46/E$52</f>
        <v>0.263718896578712</v>
      </c>
      <c r="I46" s="140" t="n">
        <f aca="false">E46/(D46*C46)</f>
        <v>249.297502039513</v>
      </c>
    </row>
    <row r="47" customFormat="false" ht="30" hidden="false" customHeight="true" outlineLevel="0" collapsed="false">
      <c r="A47" s="124" t="s">
        <v>2419</v>
      </c>
      <c r="B47" s="17" t="s">
        <v>2420</v>
      </c>
      <c r="C47" s="103" t="n">
        <v>1.2</v>
      </c>
      <c r="D47" s="98" t="n">
        <v>205099</v>
      </c>
      <c r="E47" s="100" t="n">
        <v>63019137.45</v>
      </c>
      <c r="F47" s="140" t="n">
        <f aca="false">E47/D47</f>
        <v>307.262041501909</v>
      </c>
      <c r="G47" s="99" t="n">
        <f aca="false">D47/D$52</f>
        <v>0.235271917618867</v>
      </c>
      <c r="H47" s="99" t="n">
        <f aca="false">E47/E$52</f>
        <v>0.197048548589127</v>
      </c>
      <c r="I47" s="140" t="n">
        <f aca="false">E47/(D47*C47)</f>
        <v>256.051701251591</v>
      </c>
    </row>
    <row r="48" customFormat="false" ht="15" hidden="false" customHeight="true" outlineLevel="0" collapsed="false">
      <c r="A48" s="124" t="s">
        <v>2421</v>
      </c>
      <c r="B48" s="17" t="s">
        <v>2422</v>
      </c>
      <c r="C48" s="103" t="n">
        <v>1.9</v>
      </c>
      <c r="D48" s="98" t="n">
        <v>172820</v>
      </c>
      <c r="E48" s="100" t="n">
        <v>82959184.17</v>
      </c>
      <c r="F48" s="140" t="n">
        <f aca="false">E48/D48</f>
        <v>480.03231205879</v>
      </c>
      <c r="G48" s="99" t="n">
        <f aca="false">D48/D$52</f>
        <v>0.198244227435982</v>
      </c>
      <c r="H48" s="99" t="n">
        <f aca="false">E48/E$52</f>
        <v>0.259397184637864</v>
      </c>
      <c r="I48" s="140" t="n">
        <f aca="false">E48/(D48*C48)</f>
        <v>252.6485852941</v>
      </c>
    </row>
    <row r="49" customFormat="false" ht="15" hidden="false" customHeight="true" outlineLevel="0" collapsed="false">
      <c r="A49" s="124" t="s">
        <v>2423</v>
      </c>
      <c r="B49" s="17" t="s">
        <v>2424</v>
      </c>
      <c r="C49" s="103" t="n">
        <v>1.6</v>
      </c>
      <c r="D49" s="98" t="n">
        <v>91660</v>
      </c>
      <c r="E49" s="100" t="n">
        <v>35394905.28</v>
      </c>
      <c r="F49" s="140" t="n">
        <f aca="false">E49/D49</f>
        <v>386.154323368972</v>
      </c>
      <c r="G49" s="99" t="n">
        <f aca="false">D49/D$52</f>
        <v>0.105144461791356</v>
      </c>
      <c r="H49" s="99" t="n">
        <f aca="false">E49/E$52</f>
        <v>0.110672963723238</v>
      </c>
      <c r="I49" s="140" t="n">
        <f aca="false">E49/(D49*C49)</f>
        <v>241.346452105608</v>
      </c>
    </row>
    <row r="50" customFormat="false" ht="30" hidden="false" customHeight="true" outlineLevel="0" collapsed="false">
      <c r="A50" s="124" t="s">
        <v>2425</v>
      </c>
      <c r="B50" s="18" t="s">
        <v>1997</v>
      </c>
      <c r="C50" s="103" t="n">
        <v>3.25</v>
      </c>
      <c r="D50" s="98" t="n">
        <v>57906</v>
      </c>
      <c r="E50" s="100" t="n">
        <v>49857834.97</v>
      </c>
      <c r="F50" s="140" t="n">
        <f aca="false">E50/D50</f>
        <v>861.0132796256</v>
      </c>
      <c r="G50" s="99" t="n">
        <f aca="false">D50/D$52</f>
        <v>0.0664247785783358</v>
      </c>
      <c r="H50" s="99" t="n">
        <f aca="false">E50/E$52</f>
        <v>0.155895723333717</v>
      </c>
      <c r="I50" s="140" t="n">
        <f aca="false">E50/(D50*C50)</f>
        <v>264.927162961723</v>
      </c>
    </row>
    <row r="51" customFormat="false" ht="15" hidden="false" customHeight="true" outlineLevel="0" collapsed="false">
      <c r="A51" s="124" t="s">
        <v>2426</v>
      </c>
      <c r="B51" s="17" t="s">
        <v>1996</v>
      </c>
      <c r="C51" s="103" t="n">
        <v>2.75</v>
      </c>
      <c r="D51" s="98" t="n">
        <v>5952</v>
      </c>
      <c r="E51" s="100" t="n">
        <v>4242888.03</v>
      </c>
      <c r="F51" s="140" t="n">
        <f aca="false">E51/D51</f>
        <v>712.850811491936</v>
      </c>
      <c r="G51" s="99" t="n">
        <f aca="false">D51/D$52</f>
        <v>0.0068276220443176</v>
      </c>
      <c r="H51" s="99" t="n">
        <f aca="false">E51/E$52</f>
        <v>0.0132666831373408</v>
      </c>
      <c r="I51" s="140" t="n">
        <f aca="false">E51/(D51*C51)</f>
        <v>259.218476906158</v>
      </c>
    </row>
    <row r="52" customFormat="false" ht="42" hidden="false" customHeight="true" outlineLevel="0" collapsed="false">
      <c r="A52" s="109"/>
      <c r="B52" s="8" t="s">
        <v>2452</v>
      </c>
      <c r="C52" s="109"/>
      <c r="D52" s="135" t="n">
        <f aca="false">SUM(D46:D51)</f>
        <v>871753</v>
      </c>
      <c r="E52" s="141" t="n">
        <f aca="false">SUM(E46:E51)</f>
        <v>319815283.6</v>
      </c>
      <c r="F52" s="142" t="n">
        <f aca="false">E52/D52</f>
        <v>366.864563242111</v>
      </c>
      <c r="G52" s="109"/>
      <c r="H52" s="109"/>
      <c r="I52" s="143" t="n">
        <f aca="false">E52/SUMPRODUCT(C46:C51,D46:D51)</f>
        <v>253.016158637189</v>
      </c>
    </row>
    <row r="53" customFormat="false" ht="30" hidden="false" customHeight="true" outlineLevel="0" collapsed="false">
      <c r="A53" s="19" t="s">
        <v>2453</v>
      </c>
      <c r="B53" s="19"/>
      <c r="C53" s="19"/>
      <c r="D53" s="19"/>
      <c r="E53" s="19"/>
      <c r="F53" s="19"/>
      <c r="G53" s="19"/>
      <c r="H53" s="19"/>
      <c r="I53" s="19"/>
    </row>
    <row r="54" customFormat="false" ht="30" hidden="false" customHeight="true" outlineLevel="0" collapsed="false"/>
    <row r="55" customFormat="false" ht="19.5" hidden="false" customHeight="true" outlineLevel="0" collapsed="false">
      <c r="A55" s="15" t="s">
        <v>2454</v>
      </c>
      <c r="B55" s="15"/>
      <c r="C55" s="15"/>
      <c r="D55" s="15"/>
      <c r="E55" s="15"/>
      <c r="F55" s="15"/>
      <c r="G55" s="15"/>
      <c r="H55" s="15"/>
      <c r="I55" s="15"/>
    </row>
    <row r="56" customFormat="false" ht="24" hidden="false" customHeight="true" outlineLevel="0" collapsed="false">
      <c r="A56" s="16" t="s">
        <v>1902</v>
      </c>
      <c r="B56" s="16" t="s">
        <v>733</v>
      </c>
      <c r="C56" s="16" t="s">
        <v>741</v>
      </c>
      <c r="D56" s="16" t="s">
        <v>806</v>
      </c>
      <c r="E56" s="16" t="s">
        <v>2455</v>
      </c>
      <c r="F56" s="16" t="s">
        <v>725</v>
      </c>
      <c r="G56" s="16" t="s">
        <v>2085</v>
      </c>
    </row>
    <row r="57" customFormat="false" ht="67.5" hidden="false" customHeight="true" outlineLevel="0" collapsed="false">
      <c r="A57" s="18" t="s">
        <v>2456</v>
      </c>
      <c r="B57" s="98" t="n">
        <v>825178</v>
      </c>
      <c r="C57" s="98" t="n">
        <v>837422</v>
      </c>
      <c r="D57" s="98" t="n">
        <v>871753</v>
      </c>
      <c r="E57" s="99" t="n">
        <f aca="false">(D57/B57)^(1/2)-1</f>
        <v>0.0278338229432542</v>
      </c>
      <c r="F57" s="17" t="s">
        <v>735</v>
      </c>
      <c r="G57" s="18" t="s">
        <v>2457</v>
      </c>
    </row>
    <row r="58" customFormat="false" ht="42" hidden="false" customHeight="true" outlineLevel="0" collapsed="false">
      <c r="A58" s="18" t="s">
        <v>2458</v>
      </c>
      <c r="B58" s="100" t="n">
        <v>267031071.12</v>
      </c>
      <c r="C58" s="100" t="n">
        <v>301395423.65</v>
      </c>
      <c r="D58" s="100" t="n">
        <v>319815283.6</v>
      </c>
      <c r="E58" s="99" t="n">
        <f aca="false">(D58/B58)^(1/2)-1</f>
        <v>0.0943814127256712</v>
      </c>
      <c r="F58" s="17" t="s">
        <v>735</v>
      </c>
      <c r="G58" s="18" t="s">
        <v>2459</v>
      </c>
    </row>
    <row r="59" customFormat="false" ht="79.5" hidden="false" customHeight="true" outlineLevel="0" collapsed="false">
      <c r="A59" s="18" t="s">
        <v>2460</v>
      </c>
      <c r="B59" s="100" t="n">
        <v>221125369.6</v>
      </c>
      <c r="C59" s="100" t="n">
        <v>246150020.54</v>
      </c>
      <c r="D59" s="100" t="n">
        <v>257413038.71</v>
      </c>
      <c r="E59" s="99" t="n">
        <f aca="false">(D59/B59)^(1/2)-1</f>
        <v>0.0789367470084201</v>
      </c>
      <c r="F59" s="17" t="s">
        <v>735</v>
      </c>
      <c r="G59" s="18" t="s">
        <v>2461</v>
      </c>
    </row>
    <row r="60" customFormat="false" ht="67.5" hidden="false" customHeight="true" outlineLevel="0" collapsed="false">
      <c r="A60" s="17" t="s">
        <v>2462</v>
      </c>
      <c r="B60" s="98" t="n">
        <v>28365136</v>
      </c>
      <c r="C60" s="98" t="n">
        <v>28610745</v>
      </c>
      <c r="D60" s="98" t="n">
        <v>29276711</v>
      </c>
      <c r="E60" s="99" t="n">
        <f aca="false">(D60/B60)^(1/2)-1</f>
        <v>0.0159415155558884</v>
      </c>
      <c r="F60" s="17" t="s">
        <v>735</v>
      </c>
      <c r="G60" s="18" t="s">
        <v>2463</v>
      </c>
    </row>
    <row r="61" customFormat="false" ht="142.5" hidden="false" customHeight="true" outlineLevel="0" collapsed="false">
      <c r="A61" s="20" t="s">
        <v>2464</v>
      </c>
      <c r="B61" s="141" t="n">
        <f aca="false">B58+B59</f>
        <v>488156440.72</v>
      </c>
      <c r="C61" s="141" t="n">
        <f aca="false">C58+C59</f>
        <v>547545444.19</v>
      </c>
      <c r="D61" s="141" t="n">
        <f aca="false">D58+D59</f>
        <v>577228322.31</v>
      </c>
      <c r="E61" s="144" t="n">
        <f aca="false">(D61/B61)^(1/2)-1</f>
        <v>0.0874124578487421</v>
      </c>
      <c r="F61" s="17" t="s">
        <v>751</v>
      </c>
      <c r="G61" s="18" t="s">
        <v>2465</v>
      </c>
    </row>
    <row r="62" customFormat="false" ht="105" hidden="false" customHeight="true" outlineLevel="0" collapsed="false">
      <c r="A62" s="20" t="s">
        <v>2448</v>
      </c>
      <c r="B62" s="142" t="n">
        <f aca="false">B61/B57</f>
        <v>591.577139380837</v>
      </c>
      <c r="C62" s="142" t="n">
        <f aca="false">C61/C57</f>
        <v>653.846500557664</v>
      </c>
      <c r="D62" s="142" t="n">
        <f aca="false">D61/D57</f>
        <v>662.146642810521</v>
      </c>
      <c r="E62" s="109"/>
      <c r="F62" s="17" t="s">
        <v>751</v>
      </c>
      <c r="G62" s="18" t="s">
        <v>2466</v>
      </c>
    </row>
    <row r="63" customFormat="false" ht="256.5" hidden="false" customHeight="true" outlineLevel="0" collapsed="false">
      <c r="A63" s="9" t="s">
        <v>2467</v>
      </c>
      <c r="B63" s="104" t="n">
        <f aca="false">B60/B57</f>
        <v>34.3745664571765</v>
      </c>
      <c r="C63" s="104" t="n">
        <f aca="false">C60/C57</f>
        <v>34.1652655411489</v>
      </c>
      <c r="D63" s="104" t="n">
        <f aca="false">D60/D57</f>
        <v>33.5837226829159</v>
      </c>
      <c r="E63" s="109"/>
      <c r="F63" s="17" t="s">
        <v>751</v>
      </c>
      <c r="G63" s="18" t="s">
        <v>2468</v>
      </c>
    </row>
    <row r="64" customFormat="false" ht="256.5" hidden="false" customHeight="true" outlineLevel="0" collapsed="false">
      <c r="A64" s="9" t="s">
        <v>1018</v>
      </c>
      <c r="B64" s="140" t="n">
        <f aca="false">B59/B60</f>
        <v>7.7956745774108</v>
      </c>
      <c r="C64" s="140" t="n">
        <f aca="false">C59/C60</f>
        <v>8.60341177903616</v>
      </c>
      <c r="D64" s="140" t="n">
        <f aca="false">D59/D60</f>
        <v>8.79241656311735</v>
      </c>
      <c r="E64" s="109"/>
      <c r="F64" s="17" t="s">
        <v>751</v>
      </c>
      <c r="G64" s="18" t="s">
        <v>2469</v>
      </c>
    </row>
    <row r="65" customFormat="false" ht="243.75" hidden="false" customHeight="true" outlineLevel="0" collapsed="false">
      <c r="A65" s="9" t="s">
        <v>2470</v>
      </c>
      <c r="B65" s="99" t="n">
        <f aca="false">B59/B61</f>
        <v>0.452980543028079</v>
      </c>
      <c r="C65" s="99" t="n">
        <f aca="false">C59/C61</f>
        <v>0.449551764427767</v>
      </c>
      <c r="D65" s="99" t="n">
        <f aca="false">D59/D61</f>
        <v>0.445946653622025</v>
      </c>
      <c r="E65" s="109"/>
      <c r="F65" s="17" t="s">
        <v>751</v>
      </c>
      <c r="G65" s="18" t="s">
        <v>2471</v>
      </c>
    </row>
    <row r="66" customFormat="false" ht="282" hidden="false" customHeight="true" outlineLevel="0" collapsed="false">
      <c r="A66" s="18" t="s">
        <v>2472</v>
      </c>
      <c r="B66" s="99" t="n">
        <f aca="false">208324461.83/B58</f>
        <v>0.780150642980352</v>
      </c>
      <c r="C66" s="99" t="n">
        <f aca="false">234121042.06/C58</f>
        <v>0.776790301673182</v>
      </c>
      <c r="D66" s="99" t="n">
        <f aca="false">248559413.99/D58</f>
        <v>0.777196796826254</v>
      </c>
      <c r="E66" s="109"/>
      <c r="F66" s="17" t="s">
        <v>751</v>
      </c>
      <c r="G66" s="18" t="s">
        <v>2473</v>
      </c>
    </row>
    <row r="67" customFormat="false" ht="9.75" hidden="false" customHeight="true" outlineLevel="0" collapsed="false"/>
    <row r="68" customFormat="false" ht="19.5" hidden="false" customHeight="true" outlineLevel="0" collapsed="false">
      <c r="A68" s="15" t="s">
        <v>2474</v>
      </c>
      <c r="B68" s="15"/>
      <c r="C68" s="15"/>
      <c r="D68" s="15"/>
      <c r="E68" s="15"/>
      <c r="F68" s="15"/>
      <c r="G68" s="15"/>
      <c r="H68" s="15"/>
      <c r="I68" s="15"/>
    </row>
    <row r="69" customFormat="false" ht="24" hidden="false" customHeight="true" outlineLevel="0" collapsed="false">
      <c r="A69" s="16" t="s">
        <v>1902</v>
      </c>
      <c r="B69" s="16" t="s">
        <v>733</v>
      </c>
      <c r="C69" s="16" t="s">
        <v>741</v>
      </c>
      <c r="D69" s="16" t="s">
        <v>806</v>
      </c>
      <c r="E69" s="16" t="s">
        <v>725</v>
      </c>
      <c r="F69" s="16" t="s">
        <v>2085</v>
      </c>
    </row>
    <row r="70" customFormat="false" ht="93" hidden="false" customHeight="true" outlineLevel="0" collapsed="false">
      <c r="A70" s="18" t="s">
        <v>2475</v>
      </c>
      <c r="B70" s="100" t="n">
        <v>4753662348</v>
      </c>
      <c r="C70" s="100" t="n">
        <v>4992692676</v>
      </c>
      <c r="D70" s="100" t="n">
        <v>5073090003</v>
      </c>
      <c r="E70" s="17" t="s">
        <v>735</v>
      </c>
      <c r="F70" s="18" t="s">
        <v>2476</v>
      </c>
    </row>
    <row r="71" customFormat="false" ht="300" hidden="false" customHeight="true" outlineLevel="0" collapsed="false">
      <c r="A71" s="18" t="s">
        <v>2477</v>
      </c>
      <c r="B71" s="100" t="n">
        <v>3722057066</v>
      </c>
      <c r="C71" s="100" t="n">
        <v>3892079508</v>
      </c>
      <c r="D71" s="100" t="n">
        <v>3957457371</v>
      </c>
      <c r="E71" s="17" t="s">
        <v>735</v>
      </c>
      <c r="F71" s="18" t="s">
        <v>2478</v>
      </c>
    </row>
    <row r="72" customFormat="false" ht="219" hidden="false" customHeight="true" outlineLevel="0" collapsed="false">
      <c r="A72" s="18" t="s">
        <v>2479</v>
      </c>
      <c r="B72" s="99" t="n">
        <f aca="false">B61/B70</f>
        <v>0.10269060042209</v>
      </c>
      <c r="C72" s="99" t="n">
        <f aca="false">C61/C70</f>
        <v>0.109669366757154</v>
      </c>
      <c r="D72" s="99" t="n">
        <f aca="false">D61/D70</f>
        <v>0.113782393367485</v>
      </c>
      <c r="E72" s="17" t="s">
        <v>751</v>
      </c>
      <c r="F72" s="18" t="s">
        <v>2480</v>
      </c>
    </row>
    <row r="73" customFormat="false" ht="205.5" hidden="false" customHeight="true" outlineLevel="0" collapsed="false">
      <c r="A73" s="18" t="s">
        <v>2481</v>
      </c>
      <c r="B73" s="99" t="n">
        <f aca="false">C10/C19</f>
        <v>0.073290607760716</v>
      </c>
      <c r="C73" s="99" t="n">
        <f aca="false">D10/D19</f>
        <v>0.0784761152213518</v>
      </c>
      <c r="D73" s="99" t="n">
        <f aca="false">E10/E19</f>
        <v>0.0819491795568734</v>
      </c>
      <c r="E73" s="17" t="s">
        <v>751</v>
      </c>
      <c r="F73" s="18" t="s">
        <v>2482</v>
      </c>
    </row>
    <row r="74" customFormat="false" ht="9.75" hidden="false" customHeight="true" outlineLevel="0" collapsed="false"/>
    <row r="75" customFormat="false" ht="30" hidden="false" customHeight="true" outlineLevel="0" collapsed="false">
      <c r="A75" s="145" t="s">
        <v>2483</v>
      </c>
      <c r="B75" s="145"/>
      <c r="C75" s="145"/>
      <c r="D75" s="145"/>
      <c r="E75" s="145"/>
      <c r="F75" s="145"/>
      <c r="G75" s="145"/>
      <c r="H75" s="145"/>
      <c r="I75" s="145"/>
    </row>
    <row r="76" customFormat="false" ht="42" hidden="false" customHeight="true" outlineLevel="0" collapsed="false">
      <c r="A76" s="19" t="s">
        <v>2484</v>
      </c>
      <c r="B76" s="19"/>
      <c r="C76" s="19"/>
      <c r="D76" s="19"/>
      <c r="E76" s="19"/>
      <c r="F76" s="19"/>
      <c r="G76" s="19"/>
      <c r="H76" s="19"/>
      <c r="I76" s="19"/>
    </row>
    <row r="77" customFormat="false" ht="42" hidden="false" customHeight="true" outlineLevel="0" collapsed="false">
      <c r="A77" s="19" t="s">
        <v>2485</v>
      </c>
      <c r="B77" s="19"/>
      <c r="C77" s="19"/>
      <c r="D77" s="19"/>
      <c r="E77" s="19"/>
      <c r="F77" s="19"/>
      <c r="G77" s="19"/>
      <c r="H77" s="19"/>
      <c r="I77" s="19"/>
    </row>
    <row r="78" customFormat="false" ht="9.75" hidden="false" customHeight="true" outlineLevel="0" collapsed="false"/>
    <row r="79" customFormat="false" ht="19.5" hidden="false" customHeight="true" outlineLevel="0" collapsed="false">
      <c r="A79" s="15" t="s">
        <v>2486</v>
      </c>
      <c r="B79" s="15"/>
      <c r="C79" s="15"/>
      <c r="D79" s="15"/>
      <c r="E79" s="15"/>
      <c r="F79" s="15"/>
      <c r="G79" s="15"/>
      <c r="H79" s="15"/>
      <c r="I79" s="15"/>
    </row>
    <row r="80" customFormat="false" ht="24" hidden="false" customHeight="true" outlineLevel="0" collapsed="false">
      <c r="A80" s="16" t="s">
        <v>1902</v>
      </c>
      <c r="B80" s="16" t="s">
        <v>733</v>
      </c>
      <c r="C80" s="16" t="s">
        <v>806</v>
      </c>
      <c r="D80" s="16" t="s">
        <v>2487</v>
      </c>
    </row>
    <row r="81" customFormat="false" ht="105" hidden="false" customHeight="true" outlineLevel="0" collapsed="false">
      <c r="A81" s="18" t="s">
        <v>2488</v>
      </c>
      <c r="B81" s="100" t="n">
        <v>3722057066</v>
      </c>
      <c r="C81" s="100" t="n">
        <v>3957457371</v>
      </c>
      <c r="D81" s="18" t="s">
        <v>2489</v>
      </c>
    </row>
    <row r="82" customFormat="false" ht="67.5" hidden="false" customHeight="true" outlineLevel="0" collapsed="false">
      <c r="A82" s="34" t="s">
        <v>2490</v>
      </c>
      <c r="B82" s="146" t="n">
        <v>475678985</v>
      </c>
      <c r="C82" s="146" t="n">
        <v>510451782</v>
      </c>
      <c r="D82" s="34" t="s">
        <v>2491</v>
      </c>
    </row>
    <row r="83" customFormat="false" ht="156" hidden="false" customHeight="true" outlineLevel="0" collapsed="false">
      <c r="A83" s="18" t="s">
        <v>2492</v>
      </c>
      <c r="B83" s="147" t="n">
        <f aca="false">B81+B82</f>
        <v>4197736051</v>
      </c>
      <c r="C83" s="147" t="n">
        <f aca="false">C81+C82</f>
        <v>4467909153</v>
      </c>
      <c r="D83" s="18" t="s">
        <v>2493</v>
      </c>
    </row>
    <row r="84" customFormat="false" ht="130.5" hidden="false" customHeight="true" outlineLevel="0" collapsed="false">
      <c r="A84" s="34" t="s">
        <v>2494</v>
      </c>
      <c r="B84" s="146" t="n">
        <v>5345638073</v>
      </c>
      <c r="C84" s="146" t="n">
        <v>5712334320</v>
      </c>
      <c r="D84" s="34" t="s">
        <v>2495</v>
      </c>
    </row>
    <row r="85" customFormat="false" ht="294" hidden="false" customHeight="true" outlineLevel="0" collapsed="false">
      <c r="A85" s="18" t="s">
        <v>2496</v>
      </c>
      <c r="B85" s="100" t="n">
        <v>3900000000</v>
      </c>
      <c r="C85" s="100" t="n">
        <v>5300000000</v>
      </c>
      <c r="D85" s="18" t="s">
        <v>2497</v>
      </c>
    </row>
    <row r="86" customFormat="false" ht="130.5" hidden="false" customHeight="true" outlineLevel="0" collapsed="false">
      <c r="A86" s="34" t="s">
        <v>2498</v>
      </c>
      <c r="B86" s="148"/>
      <c r="C86" s="146" t="n">
        <v>11300000</v>
      </c>
      <c r="D86" s="34" t="s">
        <v>2499</v>
      </c>
    </row>
    <row r="87" customFormat="false" ht="156" hidden="false" customHeight="true" outlineLevel="0" collapsed="false">
      <c r="A87" s="18" t="s">
        <v>2500</v>
      </c>
      <c r="B87" s="109"/>
      <c r="C87" s="140" t="n">
        <f aca="false">C85/C86</f>
        <v>469.026548672566</v>
      </c>
      <c r="D87" s="18" t="s">
        <v>2501</v>
      </c>
    </row>
    <row r="88" customFormat="false" ht="9.75" hidden="false" customHeight="true" outlineLevel="0" collapsed="false"/>
    <row r="89" customFormat="false" ht="67.5" hidden="false" customHeight="true" outlineLevel="0" collapsed="false">
      <c r="A89" s="19" t="s">
        <v>2502</v>
      </c>
      <c r="B89" s="19"/>
      <c r="C89" s="19"/>
      <c r="D89" s="19"/>
      <c r="E89" s="19"/>
      <c r="F89" s="19"/>
      <c r="G89" s="19"/>
      <c r="H89" s="19"/>
      <c r="I89" s="19"/>
    </row>
  </sheetData>
  <mergeCells count="16">
    <mergeCell ref="A1:I1"/>
    <mergeCell ref="A2:I2"/>
    <mergeCell ref="A4:I4"/>
    <mergeCell ref="A20:I20"/>
    <mergeCell ref="A22:I22"/>
    <mergeCell ref="A32:I32"/>
    <mergeCell ref="A42:I42"/>
    <mergeCell ref="A44:I44"/>
    <mergeCell ref="A53:I53"/>
    <mergeCell ref="A55:I55"/>
    <mergeCell ref="A68:I68"/>
    <mergeCell ref="A75:I75"/>
    <mergeCell ref="A76:I76"/>
    <mergeCell ref="A77:I77"/>
    <mergeCell ref="A79:I79"/>
    <mergeCell ref="A89:I89"/>
  </mergeCells>
  <printOptions headings="false" gridLines="false" gridLinesSet="true" horizontalCentered="false" verticalCentered="false"/>
  <pageMargins left="0.75" right="0.75" top="1" bottom="1" header="0.511811023622047" footer="0.511805555555556"/>
  <pageSetup paperSize="5" scale="100" fitToWidth="1" fitToHeight="0" pageOrder="downThenOver" orientation="landscape" blackAndWhite="false" draft="false" cellComments="none" horizontalDpi="300" verticalDpi="300" copies="1"/>
  <headerFooter differentFirst="false" differentOddEven="false">
    <oddHeader/>
    <oddFooter>&amp;L&amp;8 IFT Sourced Evidence Master  |  verified 09 July 2026&amp;R&amp;8 &amp;A  |  page &amp;P of &amp;N</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F8B"/>
    <pageSetUpPr fitToPage="true"/>
  </sheetPr>
  <dimension ref="A1:L50"/>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15"/>
    <col collapsed="false" customWidth="true" hidden="false" outlineLevel="0" max="3" min="3" style="1" width="11"/>
    <col collapsed="false" customWidth="true" hidden="false" outlineLevel="0" max="4" min="4" style="1" width="62"/>
    <col collapsed="false" customWidth="true" hidden="false" outlineLevel="0" max="6" min="5" style="1" width="16"/>
    <col collapsed="false" customWidth="true" hidden="false" outlineLevel="0" max="8" min="7" style="1" width="14"/>
    <col collapsed="false" customWidth="true" hidden="false" outlineLevel="0" max="9" min="9" style="1" width="13"/>
    <col collapsed="false" customWidth="true" hidden="false" outlineLevel="0" max="10" min="10" style="1" width="14"/>
    <col collapsed="false" customWidth="true" hidden="false" outlineLevel="0" max="11" min="11" style="1" width="13"/>
    <col collapsed="false" customWidth="true" hidden="false" outlineLevel="0" max="12" min="12" style="1" width="17"/>
  </cols>
  <sheetData>
    <row r="1" customFormat="false" ht="24" hidden="false" customHeight="true" outlineLevel="0" collapsed="false">
      <c r="A1" s="14" t="s">
        <v>2503</v>
      </c>
      <c r="B1" s="14"/>
      <c r="C1" s="14"/>
      <c r="D1" s="14"/>
      <c r="E1" s="14"/>
      <c r="F1" s="14"/>
      <c r="G1" s="14"/>
      <c r="H1" s="14"/>
      <c r="I1" s="14"/>
      <c r="J1" s="14"/>
      <c r="K1" s="14"/>
      <c r="L1" s="14"/>
    </row>
    <row r="2" customFormat="false" ht="30" hidden="false" customHeight="true" outlineLevel="0" collapsed="false">
      <c r="A2" s="3" t="s">
        <v>2504</v>
      </c>
      <c r="B2" s="3"/>
      <c r="C2" s="3"/>
      <c r="D2" s="3"/>
      <c r="E2" s="3"/>
      <c r="F2" s="3"/>
      <c r="G2" s="3"/>
      <c r="H2" s="3"/>
      <c r="I2" s="3"/>
      <c r="J2" s="3"/>
      <c r="K2" s="3"/>
      <c r="L2" s="3"/>
    </row>
    <row r="3" customFormat="false" ht="13.5" hidden="false" customHeight="true" outlineLevel="0" collapsed="false"/>
    <row r="4" customFormat="false" ht="33.75" hidden="false" customHeight="true" outlineLevel="0" collapsed="false">
      <c r="A4" s="16" t="s">
        <v>723</v>
      </c>
      <c r="B4" s="16" t="s">
        <v>2505</v>
      </c>
      <c r="C4" s="16" t="s">
        <v>2506</v>
      </c>
      <c r="D4" s="16" t="s">
        <v>2507</v>
      </c>
      <c r="E4" s="16" t="s">
        <v>2508</v>
      </c>
      <c r="F4" s="16" t="s">
        <v>2509</v>
      </c>
      <c r="G4" s="16" t="s">
        <v>2510</v>
      </c>
      <c r="H4" s="16" t="s">
        <v>2511</v>
      </c>
      <c r="I4" s="16" t="s">
        <v>2512</v>
      </c>
      <c r="J4" s="16" t="s">
        <v>2513</v>
      </c>
      <c r="K4" s="16" t="s">
        <v>2514</v>
      </c>
      <c r="L4" s="16" t="s">
        <v>2515</v>
      </c>
    </row>
    <row r="5" customFormat="false" ht="15" hidden="false" customHeight="true" outlineLevel="0" collapsed="false">
      <c r="A5" s="124" t="s">
        <v>1062</v>
      </c>
      <c r="B5" s="98" t="n">
        <v>937317</v>
      </c>
      <c r="C5" s="100" t="n">
        <v>271512215.14</v>
      </c>
      <c r="D5" s="100" t="n">
        <v>205209891.18</v>
      </c>
      <c r="E5" s="147" t="n">
        <f aca="false">C5+D5</f>
        <v>476722106.32</v>
      </c>
      <c r="F5" s="100" t="n">
        <v>377800254.43</v>
      </c>
      <c r="G5" s="140" t="n">
        <f aca="false">E5/B5</f>
        <v>508.602859352812</v>
      </c>
      <c r="H5" s="104" t="n">
        <f aca="false">29644494/B5</f>
        <v>31.6269671839943</v>
      </c>
      <c r="I5" s="140" t="n">
        <f aca="false">D5/29644494</f>
        <v>6.92236106914154</v>
      </c>
      <c r="J5" s="149" t="n">
        <f aca="false">1379672.2/B5</f>
        <v>1.47193766889964</v>
      </c>
      <c r="K5" s="99" t="n">
        <f aca="false">68529/B5</f>
        <v>0.0731118714373046</v>
      </c>
      <c r="L5" s="99" t="n">
        <f aca="false">361191/B5</f>
        <v>0.38534561946492</v>
      </c>
    </row>
    <row r="6" customFormat="false" ht="15" hidden="false" customHeight="true" outlineLevel="0" collapsed="false">
      <c r="A6" s="124" t="s">
        <v>2173</v>
      </c>
      <c r="B6" s="98" t="n">
        <v>978653</v>
      </c>
      <c r="C6" s="100" t="n">
        <v>285751130.75</v>
      </c>
      <c r="D6" s="100" t="n">
        <v>215437944.38</v>
      </c>
      <c r="E6" s="147" t="n">
        <f aca="false">C6+D6</f>
        <v>501189075.13</v>
      </c>
      <c r="F6" s="100" t="n">
        <v>397462254.69</v>
      </c>
      <c r="G6" s="140" t="n">
        <f aca="false">E6/B6</f>
        <v>512.12132914322</v>
      </c>
      <c r="H6" s="104" t="n">
        <f aca="false">31074806/B6</f>
        <v>31.7526293793612</v>
      </c>
      <c r="I6" s="140" t="n">
        <f aca="false">D6/31074806</f>
        <v>6.93288139530139</v>
      </c>
      <c r="J6" s="149" t="n">
        <f aca="false">1441030.9/B6</f>
        <v>1.47246358004318</v>
      </c>
      <c r="K6" s="99" t="n">
        <f aca="false">72106/B6</f>
        <v>0.0736788218091602</v>
      </c>
      <c r="L6" s="99" t="n">
        <f aca="false">376923/B6</f>
        <v>0.385144683559954</v>
      </c>
    </row>
    <row r="7" customFormat="false" ht="15" hidden="false" customHeight="true" outlineLevel="0" collapsed="false">
      <c r="A7" s="124" t="s">
        <v>778</v>
      </c>
      <c r="B7" s="98" t="n">
        <v>1017527</v>
      </c>
      <c r="C7" s="100" t="n">
        <v>293374395.79</v>
      </c>
      <c r="D7" s="100" t="n">
        <v>227989493.57</v>
      </c>
      <c r="E7" s="147" t="n">
        <f aca="false">C7+D7</f>
        <v>521363889.36</v>
      </c>
      <c r="F7" s="100" t="n">
        <v>413920312.47</v>
      </c>
      <c r="G7" s="140" t="n">
        <f aca="false">E7/B7</f>
        <v>512.383346446827</v>
      </c>
      <c r="H7" s="104" t="n">
        <f aca="false">32452094/B7</f>
        <v>31.8931035736644</v>
      </c>
      <c r="I7" s="140" t="n">
        <f aca="false">D7/32452094</f>
        <v>7.02541702147171</v>
      </c>
      <c r="J7" s="149" t="n">
        <f aca="false">1495763.8/B7</f>
        <v>1.46999912533034</v>
      </c>
      <c r="K7" s="99" t="n">
        <f aca="false">73595/B7</f>
        <v>0.0723273190785109</v>
      </c>
      <c r="L7" s="99" t="n">
        <f aca="false">387619/B7</f>
        <v>0.380942225611704</v>
      </c>
    </row>
    <row r="8" customFormat="false" ht="15" hidden="false" customHeight="true" outlineLevel="0" collapsed="false">
      <c r="A8" s="124" t="s">
        <v>2176</v>
      </c>
      <c r="B8" s="98" t="n">
        <v>1027279</v>
      </c>
      <c r="C8" s="100" t="n">
        <v>302811761.32</v>
      </c>
      <c r="D8" s="100" t="n">
        <v>236054611.5</v>
      </c>
      <c r="E8" s="147" t="n">
        <f aca="false">C8+D8</f>
        <v>538866372.82</v>
      </c>
      <c r="F8" s="100" t="n">
        <v>421104143.43</v>
      </c>
      <c r="G8" s="140" t="n">
        <f aca="false">E8/B8</f>
        <v>524.55698288391</v>
      </c>
      <c r="H8" s="104" t="n">
        <f aca="false">33300724/B8</f>
        <v>32.4164360412313</v>
      </c>
      <c r="I8" s="140" t="n">
        <f aca="false">D8/33300724</f>
        <v>7.08857295414959</v>
      </c>
      <c r="J8" s="149" t="n">
        <f aca="false">1506968.9/B8</f>
        <v>1.46695191861218</v>
      </c>
      <c r="K8" s="99" t="n">
        <f aca="false">74238/B8</f>
        <v>0.0722666383718542</v>
      </c>
      <c r="L8" s="99" t="n">
        <f aca="false">390732/B8</f>
        <v>0.380356261541412</v>
      </c>
    </row>
    <row r="9" customFormat="false" ht="15" hidden="false" customHeight="true" outlineLevel="0" collapsed="false">
      <c r="A9" s="124" t="s">
        <v>2177</v>
      </c>
      <c r="B9" s="98" t="n">
        <v>1059917</v>
      </c>
      <c r="C9" s="100" t="n">
        <v>315707982.87</v>
      </c>
      <c r="D9" s="100" t="n">
        <v>249259085.81</v>
      </c>
      <c r="E9" s="147" t="n">
        <f aca="false">C9+D9</f>
        <v>564967068.68</v>
      </c>
      <c r="F9" s="100" t="n">
        <v>439573166.43</v>
      </c>
      <c r="G9" s="140" t="n">
        <f aca="false">E9/B9</f>
        <v>533.02953786004</v>
      </c>
      <c r="H9" s="104" t="n">
        <f aca="false">34674222/B9</f>
        <v>32.7140917637891</v>
      </c>
      <c r="I9" s="140" t="n">
        <f aca="false">D9/34674222</f>
        <v>7.18859923692015</v>
      </c>
      <c r="J9" s="149" t="n">
        <f aca="false">1550865.8/B9</f>
        <v>1.46319551436575</v>
      </c>
      <c r="K9" s="99" t="n">
        <f aca="false">74877/B9</f>
        <v>0.0706442108202812</v>
      </c>
      <c r="L9" s="99" t="n">
        <f aca="false">399221/B9</f>
        <v>0.376653077552299</v>
      </c>
    </row>
    <row r="10" customFormat="false" ht="15" hidden="false" customHeight="true" outlineLevel="0" collapsed="false">
      <c r="A10" s="124" t="s">
        <v>2178</v>
      </c>
      <c r="B10" s="98" t="n">
        <v>1092979</v>
      </c>
      <c r="C10" s="100" t="n">
        <v>327742623.19</v>
      </c>
      <c r="D10" s="100" t="n">
        <v>263664308.2</v>
      </c>
      <c r="E10" s="147" t="n">
        <f aca="false">C10+D10</f>
        <v>591406931.39</v>
      </c>
      <c r="F10" s="100" t="n">
        <v>460416891.69</v>
      </c>
      <c r="G10" s="140" t="n">
        <f aca="false">E10/B10</f>
        <v>541.096335236084</v>
      </c>
      <c r="H10" s="104" t="n">
        <f aca="false">36424053/B10</f>
        <v>33.3254829232767</v>
      </c>
      <c r="I10" s="140" t="n">
        <f aca="false">D10/36424053</f>
        <v>7.23874161395493</v>
      </c>
      <c r="J10" s="149" t="n">
        <f aca="false">1595229.5/B10</f>
        <v>1.45952438244468</v>
      </c>
      <c r="K10" s="99" t="n">
        <f aca="false">74817/B10</f>
        <v>0.0684523673373413</v>
      </c>
      <c r="L10" s="99" t="n">
        <f aca="false">401982/B10</f>
        <v>0.367785657363957</v>
      </c>
    </row>
    <row r="11" customFormat="false" ht="15" hidden="false" customHeight="true" outlineLevel="0" collapsed="false">
      <c r="A11" s="124" t="s">
        <v>866</v>
      </c>
      <c r="B11" s="98" t="n">
        <v>1118830</v>
      </c>
      <c r="C11" s="100" t="n">
        <v>333278407.89</v>
      </c>
      <c r="D11" s="100" t="n">
        <v>274475822.81</v>
      </c>
      <c r="E11" s="147" t="n">
        <f aca="false">C11+D11</f>
        <v>607754230.7</v>
      </c>
      <c r="F11" s="100" t="n">
        <v>472736126.09</v>
      </c>
      <c r="G11" s="140" t="n">
        <f aca="false">E11/B11</f>
        <v>543.205161373935</v>
      </c>
      <c r="H11" s="104" t="n">
        <f aca="false">38038343/B11</f>
        <v>33.9983223546026</v>
      </c>
      <c r="I11" s="140" t="n">
        <f aca="false">D11/38038343</f>
        <v>7.21576706982215</v>
      </c>
      <c r="J11" s="149" t="n">
        <f aca="false">1626320.6/B11</f>
        <v>1.45359044716355</v>
      </c>
      <c r="K11" s="99" t="n">
        <f aca="false">74944/B11</f>
        <v>0.0669842603433944</v>
      </c>
      <c r="L11" s="99" t="n">
        <f aca="false">412563/B11</f>
        <v>0.36874502828848</v>
      </c>
    </row>
    <row r="12" customFormat="false" ht="15" hidden="false" customHeight="true" outlineLevel="0" collapsed="false">
      <c r="A12" s="124" t="s">
        <v>1057</v>
      </c>
      <c r="B12" s="98" t="n">
        <v>1139524</v>
      </c>
      <c r="C12" s="100" t="n">
        <v>341340141.89</v>
      </c>
      <c r="D12" s="100" t="n">
        <v>286291779.56</v>
      </c>
      <c r="E12" s="147" t="n">
        <f aca="false">C12+D12</f>
        <v>627631921.45</v>
      </c>
      <c r="F12" s="100" t="n">
        <v>488162542.15</v>
      </c>
      <c r="G12" s="140" t="n">
        <f aca="false">E12/B12</f>
        <v>550.784293661213</v>
      </c>
      <c r="H12" s="104" t="n">
        <f aca="false">39229705/B12</f>
        <v>34.4263964602764</v>
      </c>
      <c r="I12" s="140" t="n">
        <f aca="false">D12/39229705</f>
        <v>7.29783156819558</v>
      </c>
      <c r="J12" s="149" t="n">
        <f aca="false">1659634.1/B12</f>
        <v>1.45642750832804</v>
      </c>
      <c r="K12" s="99" t="n">
        <f aca="false">77956/B12</f>
        <v>0.068411020741994</v>
      </c>
      <c r="L12" s="99" t="n">
        <f aca="false">411088/B12</f>
        <v>0.360754139447699</v>
      </c>
    </row>
    <row r="13" customFormat="false" ht="15" hidden="false" customHeight="true" outlineLevel="0" collapsed="false">
      <c r="A13" s="124" t="s">
        <v>1153</v>
      </c>
      <c r="B13" s="98" t="n">
        <v>1126991</v>
      </c>
      <c r="C13" s="100" t="n">
        <v>342671424.83</v>
      </c>
      <c r="D13" s="100" t="n">
        <v>291471830.42</v>
      </c>
      <c r="E13" s="147" t="n">
        <f aca="false">C13+D13</f>
        <v>634143255.25</v>
      </c>
      <c r="F13" s="100" t="n">
        <v>493288616.12</v>
      </c>
      <c r="G13" s="140" t="n">
        <f aca="false">E13/B13</f>
        <v>562.687062496506</v>
      </c>
      <c r="H13" s="104" t="n">
        <f aca="false">39487791/B13</f>
        <v>35.038248752652</v>
      </c>
      <c r="I13" s="140" t="n">
        <f aca="false">D13/39487791</f>
        <v>7.38131516194461</v>
      </c>
      <c r="J13" s="149" t="n">
        <f aca="false">1638666.7/B13</f>
        <v>1.45401933112154</v>
      </c>
      <c r="K13" s="99" t="n">
        <f aca="false">76337/B13</f>
        <v>0.0677352347977934</v>
      </c>
      <c r="L13" s="99" t="n">
        <f aca="false">406725/B13</f>
        <v>0.360894630036975</v>
      </c>
    </row>
    <row r="14" customFormat="false" ht="15" hidden="false" customHeight="true" outlineLevel="0" collapsed="false">
      <c r="A14" s="124" t="s">
        <v>844</v>
      </c>
      <c r="B14" s="98" t="n">
        <v>1121589</v>
      </c>
      <c r="C14" s="100" t="n">
        <v>347484349.56</v>
      </c>
      <c r="D14" s="100" t="n">
        <v>298263507.82</v>
      </c>
      <c r="E14" s="147" t="n">
        <f aca="false">C14+D14</f>
        <v>645747857.38</v>
      </c>
      <c r="F14" s="100" t="n">
        <v>502566929.61</v>
      </c>
      <c r="G14" s="140" t="n">
        <f aca="false">E14/B14</f>
        <v>575.743750500406</v>
      </c>
      <c r="H14" s="104" t="n">
        <f aca="false">39448551/B14</f>
        <v>35.1720202320101</v>
      </c>
      <c r="I14" s="140" t="n">
        <f aca="false">D14/39448551</f>
        <v>7.56082290120111</v>
      </c>
      <c r="J14" s="149" t="n">
        <f aca="false">1630111.3/B14</f>
        <v>1.45339451438985</v>
      </c>
      <c r="K14" s="99" t="n">
        <f aca="false">77375/B14</f>
        <v>0.0689869461986521</v>
      </c>
      <c r="L14" s="99" t="n">
        <f aca="false">405665/B14</f>
        <v>0.361687748364151</v>
      </c>
    </row>
    <row r="15" customFormat="false" ht="15" hidden="false" customHeight="true" outlineLevel="0" collapsed="false">
      <c r="A15" s="124" t="s">
        <v>1862</v>
      </c>
      <c r="B15" s="98" t="n">
        <v>968422</v>
      </c>
      <c r="C15" s="100" t="n">
        <v>304478810.34</v>
      </c>
      <c r="D15" s="100" t="n">
        <v>261815462.1</v>
      </c>
      <c r="E15" s="147" t="n">
        <f aca="false">C15+D15</f>
        <v>566294272.44</v>
      </c>
      <c r="F15" s="100" t="n">
        <v>446252976.44</v>
      </c>
      <c r="G15" s="140" t="n">
        <f aca="false">E15/B15</f>
        <v>584.759817971917</v>
      </c>
      <c r="H15" s="104" t="n">
        <f aca="false">34356468/B15</f>
        <v>35.4767529031765</v>
      </c>
      <c r="I15" s="140" t="n">
        <f aca="false">D15/34356468</f>
        <v>7.62055814643112</v>
      </c>
      <c r="J15" s="149" t="n">
        <f aca="false">1408637.5/B15</f>
        <v>1.45456990857292</v>
      </c>
      <c r="K15" s="99" t="n">
        <f aca="false">69269/B15</f>
        <v>0.0715277017663787</v>
      </c>
      <c r="L15" s="99" t="n">
        <f aca="false">355880/B15</f>
        <v>0.367484423113064</v>
      </c>
    </row>
    <row r="16" customFormat="false" ht="15" hidden="false" customHeight="true" outlineLevel="0" collapsed="false">
      <c r="A16" s="124" t="s">
        <v>1163</v>
      </c>
      <c r="B16" s="98" t="n">
        <v>887312</v>
      </c>
      <c r="C16" s="100" t="n">
        <v>273572051.23</v>
      </c>
      <c r="D16" s="100" t="n">
        <v>233530830.82</v>
      </c>
      <c r="E16" s="147" t="n">
        <f aca="false">C16+D16</f>
        <v>507102882.05</v>
      </c>
      <c r="F16" s="100" t="n">
        <v>402209258.3</v>
      </c>
      <c r="G16" s="140" t="n">
        <f aca="false">E16/B16</f>
        <v>571.504591451485</v>
      </c>
      <c r="H16" s="104" t="n">
        <f aca="false">31226720/B16</f>
        <v>35.1924914798853</v>
      </c>
      <c r="I16" s="140" t="n">
        <f aca="false">D16/31226720</f>
        <v>7.47855781266813</v>
      </c>
      <c r="J16" s="149" t="n">
        <f aca="false">1277688.1/B16</f>
        <v>1.43995359016896</v>
      </c>
      <c r="K16" s="99" t="n">
        <f aca="false">61471/B16</f>
        <v>0.0692777737706692</v>
      </c>
      <c r="L16" s="99" t="n">
        <f aca="false">343085/B16</f>
        <v>0.38665655372631</v>
      </c>
    </row>
    <row r="17" customFormat="false" ht="15" hidden="false" customHeight="true" outlineLevel="0" collapsed="false">
      <c r="A17" s="124" t="s">
        <v>733</v>
      </c>
      <c r="B17" s="98" t="n">
        <v>825178</v>
      </c>
      <c r="C17" s="100" t="n">
        <v>267031071.12</v>
      </c>
      <c r="D17" s="100" t="n">
        <v>221125369.6</v>
      </c>
      <c r="E17" s="147" t="n">
        <f aca="false">C17+D17</f>
        <v>488156440.72</v>
      </c>
      <c r="F17" s="100" t="n">
        <v>382518128.46</v>
      </c>
      <c r="G17" s="140" t="n">
        <f aca="false">E17/B17</f>
        <v>591.577139380837</v>
      </c>
      <c r="H17" s="104" t="n">
        <f aca="false">28365136/B17</f>
        <v>34.3745664571765</v>
      </c>
      <c r="I17" s="140" t="n">
        <f aca="false">D17/28365136</f>
        <v>7.7956745774108</v>
      </c>
      <c r="J17" s="149" t="n">
        <f aca="false">1182532.6/B17</f>
        <v>1.43306365414492</v>
      </c>
      <c r="K17" s="99" t="n">
        <f aca="false">53950/B17</f>
        <v>0.0653798331996248</v>
      </c>
      <c r="L17" s="99" t="n">
        <f aca="false">332034/B17</f>
        <v>0.402378638305917</v>
      </c>
    </row>
    <row r="18" customFormat="false" ht="15" hidden="false" customHeight="true" outlineLevel="0" collapsed="false">
      <c r="A18" s="124" t="s">
        <v>741</v>
      </c>
      <c r="B18" s="98" t="n">
        <v>837422</v>
      </c>
      <c r="C18" s="100" t="n">
        <v>301395423.65</v>
      </c>
      <c r="D18" s="100" t="n">
        <v>246150020.54</v>
      </c>
      <c r="E18" s="147" t="n">
        <f aca="false">C18+D18</f>
        <v>547545444.19</v>
      </c>
      <c r="F18" s="100" t="n">
        <v>426654990.99</v>
      </c>
      <c r="G18" s="140" t="n">
        <f aca="false">E18/B18</f>
        <v>653.846500557664</v>
      </c>
      <c r="H18" s="104" t="n">
        <f aca="false">28610745/B18</f>
        <v>34.1652655411489</v>
      </c>
      <c r="I18" s="140" t="n">
        <f aca="false">D18/28610745</f>
        <v>8.60341177903616</v>
      </c>
      <c r="J18" s="149" t="n">
        <f aca="false">1211194.6/B18</f>
        <v>1.44633721110742</v>
      </c>
      <c r="K18" s="99" t="n">
        <f aca="false">55845/B18</f>
        <v>0.0666868078459845</v>
      </c>
      <c r="L18" s="99" t="n">
        <f aca="false">328609/B18</f>
        <v>0.392405501646721</v>
      </c>
    </row>
    <row r="19" customFormat="false" ht="15" hidden="false" customHeight="true" outlineLevel="0" collapsed="false">
      <c r="A19" s="124" t="s">
        <v>806</v>
      </c>
      <c r="B19" s="98" t="n">
        <v>871753</v>
      </c>
      <c r="C19" s="100" t="n">
        <v>319815283.6</v>
      </c>
      <c r="D19" s="100" t="n">
        <v>257413038.71</v>
      </c>
      <c r="E19" s="147" t="n">
        <f aca="false">C19+D19</f>
        <v>577228322.31</v>
      </c>
      <c r="F19" s="100" t="n">
        <v>449935988.62</v>
      </c>
      <c r="G19" s="140" t="n">
        <f aca="false">E19/B19</f>
        <v>662.146642810521</v>
      </c>
      <c r="H19" s="104" t="n">
        <f aca="false">29276711/B19</f>
        <v>33.5837226829159</v>
      </c>
      <c r="I19" s="140" t="n">
        <f aca="false">D19/29276711</f>
        <v>8.79241656311735</v>
      </c>
      <c r="J19" s="149" t="n">
        <f aca="false">1264011.3/B19</f>
        <v>1.44996495566978</v>
      </c>
      <c r="K19" s="99" t="n">
        <f aca="false">57906/B19</f>
        <v>0.0664247785783358</v>
      </c>
      <c r="L19" s="99" t="n">
        <f aca="false">338316/B19</f>
        <v>0.388086992531141</v>
      </c>
    </row>
    <row r="20" customFormat="false" ht="9.75" hidden="false" customHeight="true" outlineLevel="0" collapsed="false"/>
    <row r="21" customFormat="false" ht="30" hidden="false" customHeight="true" outlineLevel="0" collapsed="false">
      <c r="A21" s="21" t="s">
        <v>2516</v>
      </c>
    </row>
    <row r="22" customFormat="false" ht="24" hidden="false" customHeight="true" outlineLevel="0" collapsed="false">
      <c r="A22" s="16" t="s">
        <v>1902</v>
      </c>
      <c r="B22" s="16" t="s">
        <v>581</v>
      </c>
      <c r="C22" s="16" t="s">
        <v>725</v>
      </c>
      <c r="D22" s="16" t="s">
        <v>1947</v>
      </c>
    </row>
    <row r="23" customFormat="false" ht="30" hidden="false" customHeight="true" outlineLevel="0" collapsed="false">
      <c r="A23" s="18" t="s">
        <v>2517</v>
      </c>
      <c r="B23" s="124" t="s">
        <v>1057</v>
      </c>
      <c r="C23" s="17" t="s">
        <v>751</v>
      </c>
      <c r="D23" s="18" t="s">
        <v>2518</v>
      </c>
    </row>
    <row r="24" customFormat="false" ht="30" hidden="false" customHeight="true" outlineLevel="0" collapsed="false">
      <c r="A24" s="34" t="s">
        <v>2519</v>
      </c>
      <c r="B24" s="150" t="n">
        <f aca="false">B19/B12-1</f>
        <v>-0.23498495863185</v>
      </c>
      <c r="C24" s="122" t="s">
        <v>751</v>
      </c>
      <c r="D24" s="34" t="s">
        <v>2520</v>
      </c>
    </row>
    <row r="25" customFormat="false" ht="30" hidden="false" customHeight="true" outlineLevel="0" collapsed="false">
      <c r="A25" s="18" t="s">
        <v>1066</v>
      </c>
      <c r="B25" s="129" t="n">
        <f aca="false">(B12/B5)^(1/7)-1</f>
        <v>0.0282993681497363</v>
      </c>
      <c r="C25" s="17" t="s">
        <v>751</v>
      </c>
      <c r="D25" s="18" t="s">
        <v>2521</v>
      </c>
    </row>
    <row r="26" customFormat="false" ht="30" hidden="false" customHeight="true" outlineLevel="0" collapsed="false">
      <c r="A26" s="34" t="s">
        <v>1069</v>
      </c>
      <c r="B26" s="151" t="n">
        <f aca="false">(B19/B12)^(1/7)-1</f>
        <v>-0.0375428019304301</v>
      </c>
      <c r="C26" s="122" t="s">
        <v>751</v>
      </c>
      <c r="D26" s="34" t="s">
        <v>2522</v>
      </c>
    </row>
    <row r="27" customFormat="false" ht="42" hidden="false" customHeight="true" outlineLevel="0" collapsed="false">
      <c r="A27" s="18" t="s">
        <v>2523</v>
      </c>
      <c r="B27" s="129" t="n">
        <f aca="false">(B19/B17)^(1/2)-1</f>
        <v>0.0278338229432542</v>
      </c>
      <c r="C27" s="17" t="s">
        <v>751</v>
      </c>
      <c r="D27" s="18" t="s">
        <v>2524</v>
      </c>
    </row>
    <row r="28" customFormat="false" ht="16.5" hidden="false" customHeight="true" outlineLevel="0" collapsed="false">
      <c r="A28" s="34" t="s">
        <v>1075</v>
      </c>
      <c r="B28" s="151" t="n">
        <f aca="false">(E19/E5)^(1/14)-1</f>
        <v>0.0137583699234487</v>
      </c>
      <c r="C28" s="122" t="s">
        <v>751</v>
      </c>
      <c r="D28" s="34" t="s">
        <v>2525</v>
      </c>
    </row>
    <row r="29" customFormat="false" ht="30" hidden="false" customHeight="true" outlineLevel="0" collapsed="false">
      <c r="A29" s="18" t="s">
        <v>2526</v>
      </c>
      <c r="B29" s="129" t="n">
        <f aca="false">(E19/E17)^(1/2)-1</f>
        <v>0.0874124578487421</v>
      </c>
      <c r="C29" s="17" t="s">
        <v>751</v>
      </c>
      <c r="D29" s="18" t="s">
        <v>2527</v>
      </c>
    </row>
    <row r="30" customFormat="false" ht="30" hidden="false" customHeight="true" outlineLevel="0" collapsed="false">
      <c r="A30" s="34" t="s">
        <v>1078</v>
      </c>
      <c r="B30" s="151" t="n">
        <f aca="false">(G19/G5)^(1/14)-1</f>
        <v>0.0190229286225185</v>
      </c>
      <c r="C30" s="122" t="s">
        <v>751</v>
      </c>
      <c r="D30" s="34" t="s">
        <v>2528</v>
      </c>
    </row>
    <row r="31" customFormat="false" ht="16.5" hidden="false" customHeight="true" outlineLevel="0" collapsed="false">
      <c r="A31" s="18" t="s">
        <v>2529</v>
      </c>
      <c r="B31" s="129" t="n">
        <f aca="false">(I19/I5)^(1/14)-1</f>
        <v>0.0172276192040277</v>
      </c>
      <c r="C31" s="17" t="s">
        <v>751</v>
      </c>
      <c r="D31" s="18" t="s">
        <v>2530</v>
      </c>
    </row>
    <row r="32" customFormat="false" ht="30" hidden="false" customHeight="true" outlineLevel="0" collapsed="false">
      <c r="A32" s="34" t="s">
        <v>2531</v>
      </c>
      <c r="B32" s="150" t="n">
        <f aca="false">D5/E5</f>
        <v>0.430460195697853</v>
      </c>
      <c r="C32" s="122" t="s">
        <v>751</v>
      </c>
      <c r="D32" s="34" t="s">
        <v>2532</v>
      </c>
    </row>
    <row r="33" customFormat="false" ht="30" hidden="false" customHeight="true" outlineLevel="0" collapsed="false">
      <c r="A33" s="18" t="s">
        <v>2533</v>
      </c>
      <c r="B33" s="99" t="n">
        <f aca="false">D19/E19</f>
        <v>0.445946653622025</v>
      </c>
      <c r="C33" s="17" t="s">
        <v>751</v>
      </c>
      <c r="D33" s="18" t="s">
        <v>2534</v>
      </c>
    </row>
    <row r="34" customFormat="false" ht="16.5" hidden="false" customHeight="true" outlineLevel="0" collapsed="false">
      <c r="A34" s="34" t="s">
        <v>2535</v>
      </c>
      <c r="B34" s="152" t="n">
        <f aca="false">J5</f>
        <v>1.47193766889964</v>
      </c>
      <c r="C34" s="122" t="s">
        <v>751</v>
      </c>
      <c r="D34" s="34" t="s">
        <v>2536</v>
      </c>
    </row>
    <row r="35" customFormat="false" ht="30" hidden="false" customHeight="true" outlineLevel="0" collapsed="false">
      <c r="A35" s="18" t="s">
        <v>2537</v>
      </c>
      <c r="B35" s="149" t="n">
        <f aca="false">J19</f>
        <v>1.44996495566978</v>
      </c>
      <c r="C35" s="17" t="s">
        <v>751</v>
      </c>
      <c r="D35" s="18" t="s">
        <v>2538</v>
      </c>
    </row>
    <row r="36" customFormat="false" ht="42" hidden="false" customHeight="true" outlineLevel="0" collapsed="false">
      <c r="A36" s="34" t="s">
        <v>2539</v>
      </c>
      <c r="B36" s="153" t="s">
        <v>2540</v>
      </c>
      <c r="C36" s="122" t="s">
        <v>751</v>
      </c>
      <c r="D36" s="34" t="s">
        <v>2541</v>
      </c>
    </row>
    <row r="37" customFormat="false" ht="30" hidden="false" customHeight="true" outlineLevel="0" collapsed="false">
      <c r="A37" s="18" t="s">
        <v>2542</v>
      </c>
      <c r="B37" s="99" t="n">
        <f aca="false">F19/E19</f>
        <v>0.779476632087991</v>
      </c>
      <c r="C37" s="17" t="s">
        <v>751</v>
      </c>
      <c r="D37" s="18" t="s">
        <v>2543</v>
      </c>
    </row>
    <row r="38" customFormat="false" ht="9.75" hidden="false" customHeight="true" outlineLevel="0" collapsed="false"/>
    <row r="39" customFormat="false" ht="16.5" hidden="false" customHeight="true" outlineLevel="0" collapsed="false">
      <c r="A39" s="19" t="s">
        <v>2544</v>
      </c>
      <c r="B39" s="19"/>
      <c r="C39" s="19"/>
      <c r="D39" s="19"/>
      <c r="E39" s="19"/>
      <c r="F39" s="19"/>
      <c r="G39" s="19"/>
      <c r="H39" s="19"/>
      <c r="I39" s="19"/>
      <c r="J39" s="19"/>
      <c r="K39" s="19"/>
      <c r="L39" s="19"/>
    </row>
    <row r="40" customFormat="false" ht="16.5" hidden="false" customHeight="true" outlineLevel="0" collapsed="false">
      <c r="A40" s="19" t="s">
        <v>2545</v>
      </c>
      <c r="B40" s="19"/>
      <c r="C40" s="19"/>
      <c r="D40" s="19"/>
      <c r="E40" s="19"/>
      <c r="F40" s="19"/>
      <c r="G40" s="19"/>
      <c r="H40" s="19"/>
      <c r="I40" s="19"/>
      <c r="J40" s="19"/>
      <c r="K40" s="19"/>
      <c r="L40" s="19"/>
    </row>
    <row r="41" customFormat="false" ht="30" hidden="false" customHeight="true" outlineLevel="0" collapsed="false">
      <c r="A41" s="19" t="s">
        <v>2546</v>
      </c>
      <c r="B41" s="19"/>
      <c r="C41" s="19"/>
      <c r="D41" s="19"/>
      <c r="E41" s="19"/>
      <c r="F41" s="19"/>
      <c r="G41" s="19"/>
      <c r="H41" s="19"/>
      <c r="I41" s="19"/>
      <c r="J41" s="19"/>
      <c r="K41" s="19"/>
      <c r="L41" s="19"/>
    </row>
    <row r="43" customFormat="false" ht="18" hidden="false" customHeight="true" outlineLevel="0" collapsed="false">
      <c r="A43" s="127" t="s">
        <v>2111</v>
      </c>
      <c r="B43" s="127"/>
      <c r="C43" s="127"/>
      <c r="D43" s="127"/>
      <c r="E43" s="127"/>
      <c r="F43" s="127"/>
      <c r="G43" s="127"/>
      <c r="H43" s="127"/>
    </row>
    <row r="44" customFormat="false" ht="15.75" hidden="false" customHeight="true" outlineLevel="0" collapsed="false">
      <c r="A44" s="9" t="s">
        <v>2547</v>
      </c>
      <c r="B44" s="128" t="n">
        <f aca="false">(B19/B5)^(1/14)-1</f>
        <v>-0.00516628090614846</v>
      </c>
    </row>
    <row r="45" customFormat="false" ht="15.75" hidden="false" customHeight="true" outlineLevel="0" collapsed="false">
      <c r="A45" s="9" t="s">
        <v>2548</v>
      </c>
      <c r="B45" s="128" t="n">
        <f aca="false">(B19/B14)^(1/5)-1</f>
        <v>-0.0491501509933631</v>
      </c>
    </row>
    <row r="46" customFormat="false" ht="15.75" hidden="false" customHeight="true" outlineLevel="0" collapsed="false">
      <c r="A46" s="9" t="s">
        <v>2549</v>
      </c>
      <c r="B46" s="128" t="n">
        <f aca="false">(G19/G5)^(1/14)-1</f>
        <v>0.0190229286225185</v>
      </c>
    </row>
    <row r="47" customFormat="false" ht="15.75" hidden="false" customHeight="true" outlineLevel="0" collapsed="false">
      <c r="A47" s="9" t="s">
        <v>2550</v>
      </c>
      <c r="B47" s="133" t="str">
        <f aca="false">INDEX(A5:A19,MATCH(MAX(B5:B19),B5:B19,0))</f>
        <v>2017</v>
      </c>
    </row>
    <row r="48" customFormat="false" ht="15.75" hidden="false" customHeight="true" outlineLevel="0" collapsed="false">
      <c r="A48" s="9" t="s">
        <v>2551</v>
      </c>
      <c r="B48" s="154" t="n">
        <f aca="false">B19/MAX(B5:B19)-1</f>
        <v>-0.23498495863185</v>
      </c>
    </row>
    <row r="49" customFormat="false" ht="15.75" hidden="false" customHeight="true" outlineLevel="0" collapsed="false">
      <c r="A49" s="9" t="s">
        <v>2552</v>
      </c>
      <c r="B49" s="155" t="n">
        <f aca="false">(K19-K5)*100</f>
        <v>-0.668709285896872</v>
      </c>
    </row>
    <row r="50" customFormat="false" ht="30" hidden="false" customHeight="true" outlineLevel="0" collapsed="false">
      <c r="A50" s="3" t="s">
        <v>2553</v>
      </c>
      <c r="B50" s="3"/>
      <c r="C50" s="3"/>
      <c r="D50" s="3"/>
      <c r="E50" s="3"/>
      <c r="F50" s="3"/>
      <c r="G50" s="3"/>
      <c r="H50" s="3"/>
    </row>
  </sheetData>
  <mergeCells count="7">
    <mergeCell ref="A1:L1"/>
    <mergeCell ref="A2:L2"/>
    <mergeCell ref="A39:L39"/>
    <mergeCell ref="A40:L40"/>
    <mergeCell ref="A41:L41"/>
    <mergeCell ref="A43:H43"/>
    <mergeCell ref="A50:H50"/>
  </mergeCells>
  <printOptions headings="false" gridLines="false" gridLinesSet="true" horizontalCentered="false" verticalCentered="false"/>
  <pageMargins left="0.75" right="0.75" top="1" bottom="1" header="0.511811023622047" footer="0.511805555555556"/>
  <pageSetup paperSize="9" scale="100" fitToWidth="1" fitToHeight="0" pageOrder="downThenOver" orientation="landscape" blackAndWhite="false" draft="false" cellComments="none" horizontalDpi="300" verticalDpi="300" copies="1"/>
  <headerFooter differentFirst="false" differentOddEven="false">
    <oddHeader/>
    <oddFooter>&amp;L&amp;8 IFT Sourced Evidence Master  |  verified 09 July 2026&amp;R&amp;8 &amp;A  |  page &amp;P of &amp;N</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38"/>
    <col collapsed="false" customWidth="true" hidden="false" outlineLevel="0" max="3" min="3" style="1" width="13"/>
    <col collapsed="false" customWidth="true" hidden="false" outlineLevel="0" max="6" min="4" style="1" width="15"/>
    <col collapsed="false" customWidth="true" hidden="false" outlineLevel="0" max="8" min="7" style="1" width="11"/>
    <col collapsed="false" customWidth="true" hidden="false" outlineLevel="0" max="9" min="9" style="1" width="12"/>
    <col collapsed="false" customWidth="true" hidden="false" outlineLevel="0" max="10" min="10" style="1" width="13"/>
    <col collapsed="false" customWidth="true" hidden="false" outlineLevel="0" max="11" min="11" style="1" width="11"/>
    <col collapsed="false" customWidth="true" hidden="false" outlineLevel="0" max="13" min="12" style="1" width="13"/>
  </cols>
  <sheetData>
    <row r="1" customFormat="false" ht="24" hidden="false" customHeight="true" outlineLevel="0" collapsed="false">
      <c r="A1" s="14" t="s">
        <v>2554</v>
      </c>
      <c r="B1" s="14"/>
      <c r="C1" s="14"/>
      <c r="D1" s="14"/>
      <c r="E1" s="14"/>
      <c r="F1" s="14"/>
      <c r="G1" s="14"/>
      <c r="H1" s="14"/>
      <c r="I1" s="14"/>
      <c r="J1" s="14"/>
      <c r="K1" s="14"/>
    </row>
    <row r="2" customFormat="false" ht="42" hidden="false" customHeight="true" outlineLevel="0" collapsed="false">
      <c r="A2" s="3" t="s">
        <v>2555</v>
      </c>
      <c r="B2" s="3"/>
      <c r="C2" s="3"/>
      <c r="D2" s="3"/>
      <c r="E2" s="3"/>
      <c r="F2" s="3"/>
      <c r="G2" s="3"/>
      <c r="H2" s="3"/>
      <c r="I2" s="3"/>
      <c r="J2" s="3"/>
      <c r="K2" s="3"/>
    </row>
    <row r="3" customFormat="false" ht="13.5" hidden="false" customHeight="true" outlineLevel="0" collapsed="false"/>
    <row r="4" customFormat="false" ht="30" hidden="false" customHeight="true" outlineLevel="0" collapsed="false">
      <c r="A4" s="15" t="s">
        <v>2556</v>
      </c>
      <c r="B4" s="15"/>
      <c r="C4" s="15"/>
      <c r="D4" s="15"/>
      <c r="E4" s="15"/>
      <c r="F4" s="15"/>
      <c r="G4" s="15"/>
      <c r="H4" s="15"/>
      <c r="I4" s="15"/>
      <c r="J4" s="15"/>
      <c r="K4" s="15"/>
    </row>
    <row r="5" customFormat="false" ht="33.75" hidden="false" customHeight="true" outlineLevel="0" collapsed="false">
      <c r="A5" s="7" t="s">
        <v>2557</v>
      </c>
      <c r="B5" s="7" t="s">
        <v>2380</v>
      </c>
      <c r="C5" s="7" t="s">
        <v>2558</v>
      </c>
      <c r="D5" s="7" t="s">
        <v>2559</v>
      </c>
      <c r="E5" s="7" t="s">
        <v>2560</v>
      </c>
      <c r="F5" s="7" t="s">
        <v>2561</v>
      </c>
      <c r="G5" s="7" t="s">
        <v>2449</v>
      </c>
      <c r="H5" s="7" t="s">
        <v>2562</v>
      </c>
      <c r="I5" s="7" t="s">
        <v>2448</v>
      </c>
      <c r="J5" s="7" t="s">
        <v>2563</v>
      </c>
      <c r="K5" s="7" t="s">
        <v>2340</v>
      </c>
      <c r="L5" s="7" t="s">
        <v>2564</v>
      </c>
      <c r="M5" s="7" t="s">
        <v>2565</v>
      </c>
    </row>
    <row r="6" customFormat="false" ht="16.5" hidden="false" customHeight="true" outlineLevel="0" collapsed="false">
      <c r="A6" s="124" t="s">
        <v>2386</v>
      </c>
      <c r="B6" s="9" t="s">
        <v>2387</v>
      </c>
      <c r="C6" s="98" t="n">
        <v>3898371.1</v>
      </c>
      <c r="D6" s="100" t="n">
        <v>1799295536.62</v>
      </c>
      <c r="E6" s="100" t="n">
        <v>295423458.68</v>
      </c>
      <c r="F6" s="147" t="n">
        <f aca="false">D6+E6</f>
        <v>2094718995.3</v>
      </c>
      <c r="G6" s="99" t="n">
        <f aca="false">C6/$C$23</f>
        <v>0.366465198304509</v>
      </c>
      <c r="H6" s="99" t="n">
        <f aca="false">F6/$F$23</f>
        <v>0.41428710188089</v>
      </c>
      <c r="I6" s="147" t="n">
        <f aca="false">F6/C6</f>
        <v>537.331860299293</v>
      </c>
      <c r="J6" s="98" t="n">
        <v>4718340.5</v>
      </c>
      <c r="K6" s="99" t="n">
        <f aca="false">(C6/J6)^(1/5)-1</f>
        <v>-0.0374600141223408</v>
      </c>
      <c r="L6" s="156" t="n">
        <f aca="false">D6/C6</f>
        <v>461.55060420492</v>
      </c>
      <c r="M6" s="154" t="n">
        <f aca="false">C6/SUM(C$6:C$15)</f>
        <v>0.394496975337168</v>
      </c>
    </row>
    <row r="7" customFormat="false" ht="15" hidden="false" customHeight="true" outlineLevel="0" collapsed="false">
      <c r="A7" s="124" t="s">
        <v>2388</v>
      </c>
      <c r="B7" s="9" t="s">
        <v>2389</v>
      </c>
      <c r="C7" s="98" t="n">
        <v>1241885.3</v>
      </c>
      <c r="D7" s="100" t="n">
        <v>322477205.01</v>
      </c>
      <c r="E7" s="100" t="n">
        <v>111937052.21</v>
      </c>
      <c r="F7" s="147" t="n">
        <f aca="false">D7+E7</f>
        <v>434414257.22</v>
      </c>
      <c r="G7" s="99" t="n">
        <f aca="false">C7/$C$23</f>
        <v>0.116743052690893</v>
      </c>
      <c r="H7" s="99" t="n">
        <f aca="false">F7/$F$23</f>
        <v>0.0859171201689695</v>
      </c>
      <c r="I7" s="147" t="n">
        <f aca="false">F7/C7</f>
        <v>349.802237952249</v>
      </c>
      <c r="J7" s="98" t="n">
        <v>1580733.3</v>
      </c>
      <c r="K7" s="99" t="n">
        <f aca="false">(C7/J7)^(1/5)-1</f>
        <v>-0.0471060341163607</v>
      </c>
      <c r="L7" s="156" t="n">
        <f aca="false">D7/C7</f>
        <v>259.667462856674</v>
      </c>
      <c r="M7" s="154" t="n">
        <f aca="false">C7/SUM(C$6:C$15)</f>
        <v>0.125673000850456</v>
      </c>
    </row>
    <row r="8" customFormat="false" ht="15" hidden="false" customHeight="true" outlineLevel="0" collapsed="false">
      <c r="A8" s="124" t="s">
        <v>2390</v>
      </c>
      <c r="B8" s="9" t="s">
        <v>2391</v>
      </c>
      <c r="C8" s="98" t="n">
        <v>1156367.8</v>
      </c>
      <c r="D8" s="100" t="n">
        <v>515779918.06</v>
      </c>
      <c r="E8" s="100" t="n">
        <v>69140891.6</v>
      </c>
      <c r="F8" s="147" t="n">
        <f aca="false">D8+E8</f>
        <v>584920809.66</v>
      </c>
      <c r="G8" s="99" t="n">
        <f aca="false">C8/$C$23</f>
        <v>0.108704005921845</v>
      </c>
      <c r="H8" s="99" t="n">
        <f aca="false">F8/$F$23</f>
        <v>0.115683844757974</v>
      </c>
      <c r="I8" s="147" t="n">
        <f aca="false">F8/C8</f>
        <v>505.825922911378</v>
      </c>
      <c r="J8" s="98" t="n">
        <v>1294036.2</v>
      </c>
      <c r="K8" s="99" t="n">
        <f aca="false">(C8/J8)^(1/5)-1</f>
        <v>-0.0222452986712731</v>
      </c>
      <c r="L8" s="156" t="n">
        <f aca="false">D8/C8</f>
        <v>446.034486657273</v>
      </c>
      <c r="M8" s="154" t="n">
        <f aca="false">C8/SUM(C$6:C$15)</f>
        <v>0.117019028659764</v>
      </c>
    </row>
    <row r="9" customFormat="false" ht="15" hidden="false" customHeight="true" outlineLevel="0" collapsed="false">
      <c r="A9" s="124" t="s">
        <v>2392</v>
      </c>
      <c r="B9" s="9" t="s">
        <v>2393</v>
      </c>
      <c r="C9" s="98" t="n">
        <v>903261.9</v>
      </c>
      <c r="D9" s="100" t="n">
        <v>412250314.13</v>
      </c>
      <c r="E9" s="100" t="n">
        <v>57977015.45</v>
      </c>
      <c r="F9" s="147" t="n">
        <f aca="false">D9+E9</f>
        <v>470227329.58</v>
      </c>
      <c r="G9" s="99" t="n">
        <f aca="false">C9/$C$23</f>
        <v>0.0849108622071427</v>
      </c>
      <c r="H9" s="99" t="n">
        <f aca="false">F9/$F$23</f>
        <v>0.0930001198413672</v>
      </c>
      <c r="I9" s="147" t="n">
        <f aca="false">F9/C9</f>
        <v>520.588026108485</v>
      </c>
      <c r="J9" s="98" t="n">
        <v>1256939.4</v>
      </c>
      <c r="K9" s="99" t="n">
        <f aca="false">(C9/J9)^(1/5)-1</f>
        <v>-0.0639482265911019</v>
      </c>
      <c r="L9" s="156" t="n">
        <f aca="false">D9/C9</f>
        <v>456.401752503897</v>
      </c>
      <c r="M9" s="154" t="n">
        <f aca="false">C9/SUM(C$6:C$15)</f>
        <v>0.0914058919345323</v>
      </c>
    </row>
    <row r="10" customFormat="false" ht="16.5" hidden="false" customHeight="true" outlineLevel="0" collapsed="false">
      <c r="A10" s="124" t="s">
        <v>2394</v>
      </c>
      <c r="B10" s="9" t="s">
        <v>2395</v>
      </c>
      <c r="C10" s="98" t="n">
        <v>871758.5</v>
      </c>
      <c r="D10" s="100" t="n">
        <v>319815283.6</v>
      </c>
      <c r="E10" s="100" t="n">
        <v>257413038.71</v>
      </c>
      <c r="F10" s="147" t="n">
        <f aca="false">D10+E10</f>
        <v>577228322.31</v>
      </c>
      <c r="G10" s="99" t="n">
        <f aca="false">C10/$C$23</f>
        <v>0.0819493946012839</v>
      </c>
      <c r="H10" s="99" t="n">
        <f aca="false">F10/$F$23</f>
        <v>0.11416244818992</v>
      </c>
      <c r="I10" s="147" t="n">
        <f aca="false">F10/C10</f>
        <v>662.142465269911</v>
      </c>
      <c r="J10" s="98" t="n">
        <v>1121595.8</v>
      </c>
      <c r="K10" s="99" t="n">
        <f aca="false">(C10/J10)^(1/5)-1</f>
        <v>-0.0491501041548609</v>
      </c>
      <c r="L10" s="156" t="n">
        <f aca="false">D10/C10</f>
        <v>366.862248661757</v>
      </c>
      <c r="M10" s="154" t="n">
        <f aca="false">C10/SUM(C$6:C$15)</f>
        <v>0.0882178947700661</v>
      </c>
    </row>
    <row r="11" customFormat="false" ht="16.5" hidden="false" customHeight="true" outlineLevel="0" collapsed="false">
      <c r="A11" s="124" t="s">
        <v>2396</v>
      </c>
      <c r="B11" s="9" t="s">
        <v>2566</v>
      </c>
      <c r="C11" s="98" t="n">
        <v>585443.5</v>
      </c>
      <c r="D11" s="100" t="n">
        <v>263922291.87</v>
      </c>
      <c r="E11" s="100" t="n">
        <v>31651726.81</v>
      </c>
      <c r="F11" s="147" t="n">
        <f aca="false">D11+E11</f>
        <v>295574018.68</v>
      </c>
      <c r="G11" s="99" t="n">
        <f aca="false">C11/$C$23</f>
        <v>0.0550344394671882</v>
      </c>
      <c r="H11" s="99" t="n">
        <f aca="false">F11/$F$23</f>
        <v>0.0584577233819794</v>
      </c>
      <c r="I11" s="147" t="n">
        <f aca="false">F11/C11</f>
        <v>504.871979413897</v>
      </c>
      <c r="J11" s="98" t="n">
        <v>678822.4</v>
      </c>
      <c r="K11" s="99" t="n">
        <f aca="false">(C11/J11)^(1/5)-1</f>
        <v>-0.0291642402953096</v>
      </c>
      <c r="L11" s="156" t="n">
        <f aca="false">D11/C11</f>
        <v>450.807450881255</v>
      </c>
      <c r="M11" s="154" t="n">
        <f aca="false">C11/SUM(C$6:C$15)</f>
        <v>0.0592441519948692</v>
      </c>
    </row>
    <row r="12" customFormat="false" ht="16.5" hidden="false" customHeight="true" outlineLevel="0" collapsed="false">
      <c r="A12" s="124" t="s">
        <v>2398</v>
      </c>
      <c r="B12" s="9" t="s">
        <v>2399</v>
      </c>
      <c r="C12" s="98" t="n">
        <v>480973.3</v>
      </c>
      <c r="D12" s="100" t="n">
        <v>119334140.97</v>
      </c>
      <c r="E12" s="100" t="n">
        <v>45741566.54</v>
      </c>
      <c r="F12" s="147" t="n">
        <f aca="false">D12+E12</f>
        <v>165075707.51</v>
      </c>
      <c r="G12" s="99" t="n">
        <f aca="false">C12/$C$23</f>
        <v>0.0452137498566193</v>
      </c>
      <c r="H12" s="99" t="n">
        <f aca="false">F12/$F$23</f>
        <v>0.0326481674194495</v>
      </c>
      <c r="I12" s="147" t="n">
        <f aca="false">F12/C12</f>
        <v>343.211790571327</v>
      </c>
      <c r="J12" s="98" t="n">
        <v>530997.3</v>
      </c>
      <c r="K12" s="99" t="n">
        <f aca="false">(C12/J12)^(1/5)-1</f>
        <v>-0.0195945177119514</v>
      </c>
      <c r="L12" s="156" t="n">
        <f aca="false">D12/C12</f>
        <v>248.109699582077</v>
      </c>
      <c r="M12" s="154" t="n">
        <f aca="false">C12/SUM(C$6:C$15)</f>
        <v>0.0486722549497498</v>
      </c>
    </row>
    <row r="13" customFormat="false" ht="16.5" hidden="false" customHeight="true" outlineLevel="0" collapsed="false">
      <c r="A13" s="124" t="s">
        <v>2400</v>
      </c>
      <c r="B13" s="9" t="s">
        <v>2567</v>
      </c>
      <c r="C13" s="98" t="n">
        <v>319041.9</v>
      </c>
      <c r="D13" s="100" t="n">
        <v>77420105.01</v>
      </c>
      <c r="E13" s="100" t="n">
        <v>23879306.28</v>
      </c>
      <c r="F13" s="147" t="n">
        <f aca="false">D13+E13</f>
        <v>101299411.29</v>
      </c>
      <c r="G13" s="99" t="n">
        <f aca="false">C13/$C$23</f>
        <v>0.0299914374880696</v>
      </c>
      <c r="H13" s="99" t="n">
        <f aca="false">F13/$F$23</f>
        <v>0.020034687048591</v>
      </c>
      <c r="I13" s="147" t="n">
        <f aca="false">F13/C13</f>
        <v>317.511308984807</v>
      </c>
      <c r="J13" s="98" t="n">
        <v>284700.7</v>
      </c>
      <c r="K13" s="99" t="n">
        <f aca="false">(C13/J13)^(1/5)-1</f>
        <v>0.0230381697146738</v>
      </c>
      <c r="L13" s="156" t="n">
        <f aca="false">D13/C13</f>
        <v>242.664380477925</v>
      </c>
      <c r="M13" s="154" t="n">
        <f aca="false">C13/SUM(C$6:C$15)</f>
        <v>0.0322855524338931</v>
      </c>
    </row>
    <row r="14" customFormat="false" ht="16.5" hidden="false" customHeight="true" outlineLevel="0" collapsed="false">
      <c r="A14" s="124" t="s">
        <v>2402</v>
      </c>
      <c r="B14" s="9" t="s">
        <v>2568</v>
      </c>
      <c r="C14" s="98" t="n">
        <v>214296</v>
      </c>
      <c r="D14" s="100" t="n">
        <v>41297242.28</v>
      </c>
      <c r="E14" s="100" t="n">
        <v>10604220.98</v>
      </c>
      <c r="F14" s="147" t="n">
        <f aca="false">D14+E14</f>
        <v>51901463.26</v>
      </c>
      <c r="G14" s="99" t="n">
        <f aca="false">C14/$C$23</f>
        <v>0.020144830782237</v>
      </c>
      <c r="H14" s="99" t="n">
        <f aca="false">F14/$F$23</f>
        <v>0.0102649123083373</v>
      </c>
      <c r="I14" s="147" t="n">
        <f aca="false">F14/C14</f>
        <v>242.195203176914</v>
      </c>
      <c r="J14" s="98" t="n">
        <v>598004.8</v>
      </c>
      <c r="K14" s="99" t="n">
        <f aca="false">(C14/J14)^(1/5)-1</f>
        <v>-0.185554779650733</v>
      </c>
      <c r="L14" s="156" t="n">
        <f aca="false">D14/C14</f>
        <v>192.711213835069</v>
      </c>
      <c r="M14" s="154" t="n">
        <f aca="false">C14/SUM(C$6:C$15)</f>
        <v>0.0216857558344956</v>
      </c>
    </row>
    <row r="15" customFormat="false" ht="16.5" hidden="false" customHeight="true" outlineLevel="0" collapsed="false">
      <c r="A15" s="124" t="s">
        <v>2404</v>
      </c>
      <c r="B15" s="9" t="s">
        <v>2569</v>
      </c>
      <c r="C15" s="98" t="n">
        <v>210479</v>
      </c>
      <c r="D15" s="100" t="n">
        <v>40783851.82</v>
      </c>
      <c r="E15" s="100" t="n">
        <v>10474798.4</v>
      </c>
      <c r="F15" s="147" t="n">
        <f aca="false">D15+E15</f>
        <v>51258650.22</v>
      </c>
      <c r="G15" s="99" t="n">
        <f aca="false">C15/$C$23</f>
        <v>0.0197860148496213</v>
      </c>
      <c r="H15" s="99" t="n">
        <f aca="false">F15/$F$23</f>
        <v>0.0101377787157216</v>
      </c>
      <c r="I15" s="147" t="n">
        <f aca="false">F15/C15</f>
        <v>243.533322659268</v>
      </c>
      <c r="J15" s="98" t="n">
        <v>590270.6</v>
      </c>
      <c r="K15" s="99" t="n">
        <f aca="false">(C15/J15)^(1/5)-1</f>
        <v>-0.18636143752287</v>
      </c>
      <c r="L15" s="156" t="n">
        <f aca="false">D15/C15</f>
        <v>193.766845243468</v>
      </c>
      <c r="M15" s="154" t="n">
        <f aca="false">C15/SUM(C$6:C$15)</f>
        <v>0.0212994932350057</v>
      </c>
    </row>
    <row r="16" customFormat="false" ht="16.5" hidden="false" customHeight="true" outlineLevel="0" collapsed="false">
      <c r="A16" s="124" t="s">
        <v>2406</v>
      </c>
      <c r="B16" s="9" t="s">
        <v>2570</v>
      </c>
      <c r="C16" s="98" t="n">
        <v>181502.6</v>
      </c>
      <c r="D16" s="100" t="n">
        <v>34689725.35</v>
      </c>
      <c r="E16" s="100" t="n">
        <v>8199217.58</v>
      </c>
      <c r="F16" s="147" t="n">
        <f aca="false">D16+E16</f>
        <v>42888942.93</v>
      </c>
      <c r="G16" s="99" t="n">
        <f aca="false">C16/$C$23</f>
        <v>0.01706209711584</v>
      </c>
      <c r="H16" s="99" t="n">
        <f aca="false">F16/$F$23</f>
        <v>0.00848244366383848</v>
      </c>
      <c r="I16" s="147" t="n">
        <f aca="false">F16/C16</f>
        <v>236.29933086358</v>
      </c>
      <c r="J16" s="98" t="n">
        <v>465554.9</v>
      </c>
      <c r="K16" s="99" t="n">
        <f aca="false">(C16/J16)^(1/5)-1</f>
        <v>-0.171710054159738</v>
      </c>
    </row>
    <row r="17" customFormat="false" ht="16.5" hidden="false" customHeight="true" outlineLevel="0" collapsed="false">
      <c r="A17" s="124" t="s">
        <v>2408</v>
      </c>
      <c r="B17" s="9" t="s">
        <v>2571</v>
      </c>
      <c r="C17" s="98" t="n">
        <v>177067.1</v>
      </c>
      <c r="D17" s="100" t="n">
        <v>34189997.29</v>
      </c>
      <c r="E17" s="100" t="n">
        <v>8111876.79</v>
      </c>
      <c r="F17" s="147" t="n">
        <f aca="false">D17+E17</f>
        <v>42301874.08</v>
      </c>
      <c r="G17" s="99" t="n">
        <f aca="false">C17/$C$23</f>
        <v>0.0166451392774547</v>
      </c>
      <c r="H17" s="99" t="n">
        <f aca="false">F17/$F$23</f>
        <v>0.00836633498624651</v>
      </c>
      <c r="I17" s="147" t="n">
        <f aca="false">F17/C17</f>
        <v>238.903071660404</v>
      </c>
      <c r="J17" s="98" t="n">
        <v>459682.2</v>
      </c>
      <c r="K17" s="99" t="n">
        <f aca="false">(C17/J17)^(1/5)-1</f>
        <v>-0.173703263548416</v>
      </c>
    </row>
    <row r="18" customFormat="false" ht="16.5" hidden="false" customHeight="true" outlineLevel="0" collapsed="false">
      <c r="A18" s="124" t="s">
        <v>2572</v>
      </c>
      <c r="B18" s="9" t="s">
        <v>2573</v>
      </c>
      <c r="C18" s="98" t="n">
        <v>152444</v>
      </c>
      <c r="D18" s="100" t="n">
        <v>69659617.03</v>
      </c>
      <c r="E18" s="100" t="n">
        <v>9101843.17</v>
      </c>
      <c r="F18" s="147" t="n">
        <f aca="false">D18+E18</f>
        <v>78761460.2</v>
      </c>
      <c r="G18" s="99" t="n">
        <f aca="false">C18/$C$23</f>
        <v>0.0143304521958755</v>
      </c>
      <c r="H18" s="99" t="n">
        <f aca="false">F18/$F$23</f>
        <v>0.0155772001683175</v>
      </c>
      <c r="I18" s="147" t="n">
        <f aca="false">F18/C18</f>
        <v>516.658315184592</v>
      </c>
      <c r="J18" s="98" t="n">
        <v>201384.4</v>
      </c>
      <c r="K18" s="99" t="n">
        <f aca="false">(C18/J18)^(1/5)-1</f>
        <v>-0.0541616867829092</v>
      </c>
    </row>
    <row r="19" customFormat="false" ht="16.5" hidden="false" customHeight="true" outlineLevel="0" collapsed="false">
      <c r="A19" s="124" t="s">
        <v>2574</v>
      </c>
      <c r="B19" s="9" t="s">
        <v>2575</v>
      </c>
      <c r="C19" s="98" t="n">
        <v>35869.9</v>
      </c>
      <c r="D19" s="100" t="n">
        <v>16265765.03</v>
      </c>
      <c r="E19" s="100" t="n">
        <v>1960977.74</v>
      </c>
      <c r="F19" s="147" t="n">
        <f aca="false">D19+E19</f>
        <v>18226742.77</v>
      </c>
      <c r="G19" s="99" t="n">
        <f aca="false">C19/$C$23</f>
        <v>0.00337193912007579</v>
      </c>
      <c r="H19" s="99" t="n">
        <f aca="false">F19/$F$23</f>
        <v>0.00360482931402945</v>
      </c>
      <c r="I19" s="147" t="n">
        <f aca="false">F19/C19</f>
        <v>508.134752815034</v>
      </c>
      <c r="J19" s="98" t="n">
        <v>77407.2</v>
      </c>
      <c r="K19" s="99" t="n">
        <f aca="false">(C19/J19)^(1/5)-1</f>
        <v>-0.142587597060008</v>
      </c>
    </row>
    <row r="20" customFormat="false" ht="16.5" hidden="false" customHeight="true" outlineLevel="0" collapsed="false">
      <c r="A20" s="124" t="s">
        <v>2576</v>
      </c>
      <c r="B20" s="9" t="s">
        <v>2577</v>
      </c>
      <c r="C20" s="98" t="n">
        <v>23607.5</v>
      </c>
      <c r="D20" s="100" t="n">
        <v>548.39</v>
      </c>
      <c r="E20" s="100" t="n">
        <v>205.62</v>
      </c>
      <c r="F20" s="147" t="n">
        <f aca="false">D20+E20</f>
        <v>754.01</v>
      </c>
      <c r="G20" s="99" t="n">
        <f aca="false">C20/$C$23</f>
        <v>0.00221921591019739</v>
      </c>
      <c r="H20" s="99" t="n">
        <f aca="false">F20/$F$23</f>
        <v>1.49125786508883E-007</v>
      </c>
      <c r="I20" s="147" t="n">
        <f aca="false">F20/C20</f>
        <v>0.0319394260298634</v>
      </c>
      <c r="J20" s="98" t="n">
        <v>47892</v>
      </c>
      <c r="K20" s="99" t="n">
        <f aca="false">(C20/J20)^(1/5)-1</f>
        <v>-0.131924688374323</v>
      </c>
    </row>
    <row r="21" customFormat="false" ht="16.5" hidden="false" customHeight="true" outlineLevel="0" collapsed="false">
      <c r="A21" s="124" t="s">
        <v>2578</v>
      </c>
      <c r="B21" s="9" t="s">
        <v>2579</v>
      </c>
      <c r="C21" s="98" t="n">
        <v>22008.9</v>
      </c>
      <c r="D21" s="100" t="n">
        <v>4015.86</v>
      </c>
      <c r="E21" s="100" t="n">
        <v>2441.3</v>
      </c>
      <c r="F21" s="147" t="n">
        <f aca="false">D21+E21</f>
        <v>6457.16</v>
      </c>
      <c r="G21" s="99" t="n">
        <f aca="false">C21/$C$23</f>
        <v>0.00206893999982816</v>
      </c>
      <c r="H21" s="99" t="n">
        <f aca="false">F21/$F$23</f>
        <v>1.27707731145966E-006</v>
      </c>
      <c r="I21" s="147" t="n">
        <f aca="false">F21/C21</f>
        <v>0.293388583709318</v>
      </c>
      <c r="J21" s="98" t="n">
        <v>45388.1</v>
      </c>
      <c r="K21" s="99" t="n">
        <f aca="false">(C21/J21)^(1/5)-1</f>
        <v>-0.13477060253603</v>
      </c>
    </row>
    <row r="22" customFormat="false" ht="30" hidden="false" customHeight="true" outlineLevel="0" collapsed="false">
      <c r="A22" s="97" t="s">
        <v>2580</v>
      </c>
      <c r="B22" s="9" t="s">
        <v>2581</v>
      </c>
      <c r="C22" s="105" t="n">
        <f aca="false">C23-SUM(C6:C21)</f>
        <v>163387.899999999</v>
      </c>
      <c r="D22" s="109"/>
      <c r="E22" s="109"/>
      <c r="F22" s="147" t="n">
        <f aca="false">F23-SUM(F6:F21)</f>
        <v>47396133.2600002</v>
      </c>
    </row>
    <row r="23" customFormat="false" ht="30" hidden="false" customHeight="true" outlineLevel="0" collapsed="false">
      <c r="A23" s="20" t="s">
        <v>548</v>
      </c>
      <c r="B23" s="9" t="s">
        <v>2582</v>
      </c>
      <c r="C23" s="157" t="n">
        <v>10637766.2</v>
      </c>
      <c r="D23" s="109"/>
      <c r="E23" s="109"/>
      <c r="F23" s="158" t="n">
        <v>5056201329.44</v>
      </c>
      <c r="G23" s="109"/>
      <c r="H23" s="109"/>
      <c r="I23" s="141" t="n">
        <f aca="false">F23/C23</f>
        <v>475.306679464341</v>
      </c>
    </row>
    <row r="24" customFormat="false" ht="9.75" hidden="false" customHeight="true" outlineLevel="0" collapsed="false"/>
    <row r="25" customFormat="false" ht="42" hidden="false" customHeight="true" outlineLevel="0" collapsed="false">
      <c r="A25" s="5" t="s">
        <v>2583</v>
      </c>
      <c r="B25" s="5"/>
      <c r="C25" s="5"/>
      <c r="D25" s="5"/>
      <c r="E25" s="5"/>
      <c r="F25" s="5"/>
      <c r="G25" s="5"/>
      <c r="H25" s="5"/>
      <c r="I25" s="5"/>
      <c r="J25" s="5"/>
      <c r="K25" s="5"/>
    </row>
    <row r="26" customFormat="false" ht="9.75" hidden="false" customHeight="true" outlineLevel="0" collapsed="false"/>
    <row r="27" customFormat="false" ht="16.5" hidden="false" customHeight="true" outlineLevel="0" collapsed="false">
      <c r="A27" s="15" t="s">
        <v>2584</v>
      </c>
      <c r="B27" s="15"/>
      <c r="C27" s="15"/>
      <c r="D27" s="15"/>
      <c r="E27" s="15"/>
      <c r="F27" s="15"/>
      <c r="G27" s="15"/>
      <c r="H27" s="15"/>
      <c r="I27" s="15"/>
      <c r="J27" s="15"/>
      <c r="K27" s="15"/>
    </row>
    <row r="28" customFormat="false" ht="33.75" hidden="false" customHeight="true" outlineLevel="0" collapsed="false">
      <c r="A28" s="7" t="s">
        <v>723</v>
      </c>
      <c r="B28" s="7" t="s">
        <v>2585</v>
      </c>
      <c r="C28" s="7" t="s">
        <v>2586</v>
      </c>
      <c r="D28" s="7" t="s">
        <v>2587</v>
      </c>
      <c r="E28" s="7" t="s">
        <v>2588</v>
      </c>
      <c r="F28" s="7" t="s">
        <v>2589</v>
      </c>
      <c r="G28" s="7" t="s">
        <v>2590</v>
      </c>
      <c r="H28" s="7" t="s">
        <v>2591</v>
      </c>
    </row>
    <row r="29" customFormat="false" ht="15" hidden="false" customHeight="true" outlineLevel="0" collapsed="false">
      <c r="A29" s="124" t="s">
        <v>844</v>
      </c>
      <c r="B29" s="98" t="n">
        <v>14403623.8</v>
      </c>
      <c r="C29" s="100" t="n">
        <v>4474793196.73</v>
      </c>
      <c r="D29" s="100" t="n">
        <v>1087709412.09</v>
      </c>
      <c r="E29" s="147" t="n">
        <f aca="false">C29+D29</f>
        <v>5562502608.82</v>
      </c>
      <c r="F29" s="100" t="n">
        <v>4325607978.39</v>
      </c>
      <c r="G29" s="98" t="n">
        <v>14289866.3</v>
      </c>
    </row>
    <row r="30" customFormat="false" ht="15" hidden="false" customHeight="true" outlineLevel="0" collapsed="false">
      <c r="A30" s="124" t="s">
        <v>1862</v>
      </c>
      <c r="B30" s="98" t="n">
        <v>12708928.8</v>
      </c>
      <c r="C30" s="100" t="n">
        <v>4001064112.89</v>
      </c>
      <c r="D30" s="100" t="n">
        <v>992802228.29</v>
      </c>
      <c r="E30" s="147" t="n">
        <f aca="false">C30+D30</f>
        <v>4993866341.18</v>
      </c>
      <c r="F30" s="100" t="n">
        <v>3935087362.77</v>
      </c>
      <c r="G30" s="98" t="n">
        <v>12627114.2</v>
      </c>
      <c r="H30" s="99" t="n">
        <f aca="false">G30/$G$29-1</f>
        <v>-0.116358828353769</v>
      </c>
    </row>
    <row r="31" customFormat="false" ht="15" hidden="false" customHeight="true" outlineLevel="0" collapsed="false">
      <c r="A31" s="124" t="s">
        <v>1163</v>
      </c>
      <c r="B31" s="98" t="n">
        <v>12171641.4</v>
      </c>
      <c r="C31" s="100" t="n">
        <v>3849855860.64</v>
      </c>
      <c r="D31" s="100" t="n">
        <v>936082175.87</v>
      </c>
      <c r="E31" s="147" t="n">
        <f aca="false">C31+D31</f>
        <v>4785938036.51</v>
      </c>
      <c r="F31" s="100" t="n">
        <v>3797491594.85</v>
      </c>
      <c r="G31" s="98" t="n">
        <v>12099100.5</v>
      </c>
      <c r="H31" s="99" t="n">
        <f aca="false">G31/$G$29-1</f>
        <v>-0.15330904810495</v>
      </c>
    </row>
    <row r="32" customFormat="false" ht="15" hidden="false" customHeight="true" outlineLevel="0" collapsed="false">
      <c r="A32" s="124" t="s">
        <v>733</v>
      </c>
      <c r="B32" s="98" t="n">
        <v>11318792.1</v>
      </c>
      <c r="C32" s="100" t="n">
        <v>3859583099.08</v>
      </c>
      <c r="D32" s="100" t="n">
        <v>894079248.71</v>
      </c>
      <c r="E32" s="147" t="n">
        <f aca="false">C32+D32</f>
        <v>4753662347.79</v>
      </c>
      <c r="F32" s="100" t="n">
        <v>3722057065.72</v>
      </c>
      <c r="G32" s="98" t="n">
        <v>11259050.1</v>
      </c>
      <c r="H32" s="99" t="n">
        <f aca="false">G32/$G$29-1</f>
        <v>-0.212095490354588</v>
      </c>
    </row>
    <row r="33" customFormat="false" ht="15" hidden="false" customHeight="true" outlineLevel="0" collapsed="false">
      <c r="A33" s="124" t="s">
        <v>741</v>
      </c>
      <c r="B33" s="98" t="n">
        <v>10718468.1</v>
      </c>
      <c r="C33" s="100" t="n">
        <v>4058003765.05</v>
      </c>
      <c r="D33" s="100" t="n">
        <v>934688910.9</v>
      </c>
      <c r="E33" s="147" t="n">
        <f aca="false">C33+D33</f>
        <v>4992692675.95</v>
      </c>
      <c r="F33" s="100" t="n">
        <v>3892079507.87</v>
      </c>
      <c r="G33" s="98" t="n">
        <v>10671086.1</v>
      </c>
      <c r="H33" s="99" t="n">
        <f aca="false">G33/$G$29-1</f>
        <v>-0.253241011779096</v>
      </c>
    </row>
    <row r="34" customFormat="false" ht="15" hidden="false" customHeight="true" outlineLevel="0" collapsed="false">
      <c r="A34" s="124" t="s">
        <v>806</v>
      </c>
      <c r="B34" s="98" t="n">
        <v>10684910.2</v>
      </c>
      <c r="C34" s="100" t="n">
        <v>4121107499.45</v>
      </c>
      <c r="D34" s="100" t="n">
        <v>951982503.33</v>
      </c>
      <c r="E34" s="147" t="n">
        <f aca="false">C34+D34</f>
        <v>5073090002.78</v>
      </c>
      <c r="F34" s="100" t="n">
        <v>3957457371.3</v>
      </c>
      <c r="G34" s="98" t="n">
        <v>10637766.2</v>
      </c>
      <c r="H34" s="99" t="n">
        <f aca="false">G34/$G$29-1</f>
        <v>-0.255572727087027</v>
      </c>
    </row>
    <row r="35" customFormat="false" ht="9.75" hidden="false" customHeight="true" outlineLevel="0" collapsed="false"/>
    <row r="36" customFormat="false" ht="30" hidden="false" customHeight="true" outlineLevel="0" collapsed="false">
      <c r="A36" s="5" t="s">
        <v>2592</v>
      </c>
      <c r="B36" s="5"/>
      <c r="C36" s="5"/>
      <c r="D36" s="5"/>
      <c r="E36" s="5"/>
      <c r="F36" s="5"/>
      <c r="G36" s="5"/>
      <c r="H36" s="5"/>
      <c r="I36" s="5"/>
      <c r="J36" s="5"/>
      <c r="K36" s="5"/>
    </row>
    <row r="37" customFormat="false" ht="9.75" hidden="false" customHeight="true" outlineLevel="0" collapsed="false"/>
    <row r="38" customFormat="false" ht="16.5" hidden="false" customHeight="true" outlineLevel="0" collapsed="false">
      <c r="A38" s="15" t="s">
        <v>2593</v>
      </c>
      <c r="B38" s="15"/>
      <c r="C38" s="15"/>
      <c r="D38" s="15"/>
      <c r="E38" s="15"/>
      <c r="F38" s="15"/>
      <c r="G38" s="15"/>
      <c r="H38" s="15"/>
      <c r="I38" s="15"/>
      <c r="J38" s="15"/>
      <c r="K38" s="15"/>
    </row>
    <row r="39" customFormat="false" ht="24" hidden="false" customHeight="true" outlineLevel="0" collapsed="false">
      <c r="A39" s="7" t="s">
        <v>2379</v>
      </c>
      <c r="B39" s="7" t="s">
        <v>2594</v>
      </c>
      <c r="C39" s="7" t="s">
        <v>2595</v>
      </c>
    </row>
    <row r="40" customFormat="false" ht="30" hidden="false" customHeight="true" outlineLevel="0" collapsed="false">
      <c r="A40" s="124" t="s">
        <v>2596</v>
      </c>
      <c r="B40" s="9" t="s">
        <v>2597</v>
      </c>
      <c r="C40" s="98" t="n">
        <v>36325</v>
      </c>
    </row>
    <row r="41" customFormat="false" ht="30" hidden="false" customHeight="true" outlineLevel="0" collapsed="false">
      <c r="A41" s="124" t="s">
        <v>2598</v>
      </c>
      <c r="B41" s="9" t="s">
        <v>2599</v>
      </c>
      <c r="C41" s="98" t="n">
        <v>5009</v>
      </c>
    </row>
    <row r="42" customFormat="false" ht="16.5" hidden="false" customHeight="true" outlineLevel="0" collapsed="false">
      <c r="A42" s="124" t="s">
        <v>2600</v>
      </c>
      <c r="B42" s="9" t="s">
        <v>2601</v>
      </c>
      <c r="C42" s="98" t="n">
        <v>3026</v>
      </c>
    </row>
    <row r="43" customFormat="false" ht="30" hidden="false" customHeight="true" outlineLevel="0" collapsed="false">
      <c r="A43" s="124" t="s">
        <v>2602</v>
      </c>
      <c r="B43" s="9" t="s">
        <v>2603</v>
      </c>
      <c r="C43" s="98" t="n">
        <v>1615</v>
      </c>
    </row>
    <row r="44" customFormat="false" ht="30" hidden="false" customHeight="true" outlineLevel="0" collapsed="false">
      <c r="A44" s="124" t="s">
        <v>2604</v>
      </c>
      <c r="B44" s="9" t="s">
        <v>2605</v>
      </c>
      <c r="C44" s="98" t="n">
        <v>354</v>
      </c>
    </row>
    <row r="45" customFormat="false" ht="30" hidden="false" customHeight="true" outlineLevel="0" collapsed="false">
      <c r="A45" s="124" t="s">
        <v>2606</v>
      </c>
      <c r="B45" s="9" t="s">
        <v>2607</v>
      </c>
      <c r="C45" s="98" t="n">
        <v>329</v>
      </c>
    </row>
    <row r="46" customFormat="false" ht="30" hidden="false" customHeight="true" outlineLevel="0" collapsed="false">
      <c r="A46" s="124" t="s">
        <v>2608</v>
      </c>
      <c r="B46" s="9" t="s">
        <v>2609</v>
      </c>
      <c r="C46" s="98" t="n">
        <v>109</v>
      </c>
    </row>
    <row r="47" customFormat="false" ht="16.5" hidden="false" customHeight="true" outlineLevel="0" collapsed="false">
      <c r="A47" s="124" t="s">
        <v>2610</v>
      </c>
      <c r="B47" s="9" t="s">
        <v>2611</v>
      </c>
      <c r="C47" s="98" t="n">
        <v>77</v>
      </c>
    </row>
    <row r="48" customFormat="false" ht="9.75" hidden="false" customHeight="true" outlineLevel="0" collapsed="false"/>
    <row r="49" customFormat="false" ht="42" hidden="false" customHeight="true" outlineLevel="0" collapsed="false">
      <c r="A49" s="5" t="s">
        <v>2612</v>
      </c>
      <c r="B49" s="5"/>
      <c r="C49" s="5"/>
      <c r="D49" s="5"/>
      <c r="E49" s="5"/>
      <c r="F49" s="5"/>
      <c r="G49" s="5"/>
      <c r="H49" s="5"/>
      <c r="I49" s="5"/>
      <c r="J49" s="5"/>
      <c r="K49" s="5"/>
    </row>
    <row r="50" customFormat="false" ht="9.75" hidden="false" customHeight="true" outlineLevel="0" collapsed="false"/>
    <row r="51" customFormat="false" ht="30" hidden="false" customHeight="true" outlineLevel="0" collapsed="false">
      <c r="A51" s="5" t="s">
        <v>2613</v>
      </c>
      <c r="B51" s="5"/>
      <c r="C51" s="5"/>
      <c r="D51" s="5"/>
      <c r="E51" s="5"/>
      <c r="F51" s="5"/>
      <c r="G51" s="5"/>
      <c r="H51" s="5"/>
      <c r="I51" s="5"/>
      <c r="J51" s="5"/>
      <c r="K51" s="5"/>
    </row>
    <row r="52" customFormat="false" ht="30" hidden="false" customHeight="true" outlineLevel="0" collapsed="false">
      <c r="A52" s="5" t="s">
        <v>2614</v>
      </c>
      <c r="B52" s="5"/>
      <c r="C52" s="5"/>
      <c r="D52" s="5"/>
      <c r="E52" s="5"/>
      <c r="F52" s="5"/>
      <c r="G52" s="5"/>
      <c r="H52" s="5"/>
      <c r="I52" s="5"/>
      <c r="J52" s="5"/>
      <c r="K52" s="5"/>
    </row>
    <row r="54" customFormat="false" ht="18" hidden="false" customHeight="true" outlineLevel="0" collapsed="false">
      <c r="A54" s="127" t="s">
        <v>2111</v>
      </c>
      <c r="B54" s="127"/>
      <c r="C54" s="127"/>
      <c r="D54" s="127"/>
      <c r="E54" s="127"/>
      <c r="F54" s="127"/>
      <c r="G54" s="127"/>
      <c r="H54" s="127"/>
    </row>
    <row r="55" customFormat="false" ht="15.75" hidden="false" customHeight="true" outlineLevel="0" collapsed="false">
      <c r="A55" s="9" t="s">
        <v>2615</v>
      </c>
      <c r="B55" s="128" t="n">
        <f aca="false">(G34/G32)^(1/2)-1</f>
        <v>-0.0279819163928821</v>
      </c>
    </row>
    <row r="56" customFormat="false" ht="15.75" hidden="false" customHeight="true" outlineLevel="0" collapsed="false">
      <c r="A56" s="9" t="s">
        <v>2616</v>
      </c>
      <c r="B56" s="128" t="n">
        <f aca="false">(G34/G29)^(1/5)-1</f>
        <v>-0.0573196484048834</v>
      </c>
    </row>
    <row r="57" customFormat="false" ht="30" hidden="false" customHeight="true" outlineLevel="0" collapsed="false">
      <c r="A57" s="3" t="s">
        <v>2617</v>
      </c>
      <c r="B57" s="3"/>
      <c r="C57" s="3"/>
      <c r="D57" s="3"/>
      <c r="E57" s="3"/>
      <c r="F57" s="3"/>
      <c r="G57" s="3"/>
      <c r="H57" s="3"/>
    </row>
  </sheetData>
  <mergeCells count="12">
    <mergeCell ref="A1:K1"/>
    <mergeCell ref="A2:K2"/>
    <mergeCell ref="A4:K4"/>
    <mergeCell ref="A25:K25"/>
    <mergeCell ref="A27:K27"/>
    <mergeCell ref="A36:K36"/>
    <mergeCell ref="A38:K38"/>
    <mergeCell ref="A49:K49"/>
    <mergeCell ref="A51:K51"/>
    <mergeCell ref="A52:K52"/>
    <mergeCell ref="A54:H54"/>
    <mergeCell ref="A57:H5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2" min="2" style="1" width="15"/>
    <col collapsed="false" customWidth="true" hidden="false" outlineLevel="0" max="3" min="3" style="1" width="16"/>
    <col collapsed="false" customWidth="true" hidden="false" outlineLevel="0" max="6" min="4" style="1" width="15"/>
    <col collapsed="false" customWidth="true" hidden="false" outlineLevel="0" max="7" min="7" style="1" width="13"/>
  </cols>
  <sheetData>
    <row r="1" customFormat="false" ht="24" hidden="false" customHeight="true" outlineLevel="0" collapsed="false">
      <c r="A1" s="14" t="s">
        <v>2618</v>
      </c>
      <c r="B1" s="14"/>
      <c r="C1" s="14"/>
      <c r="D1" s="14"/>
      <c r="E1" s="14"/>
      <c r="F1" s="14"/>
      <c r="G1" s="14"/>
    </row>
    <row r="2" customFormat="false" ht="42" hidden="false" customHeight="true" outlineLevel="0" collapsed="false">
      <c r="A2" s="3" t="s">
        <v>2619</v>
      </c>
      <c r="B2" s="3"/>
      <c r="C2" s="3"/>
      <c r="D2" s="3"/>
      <c r="E2" s="3"/>
      <c r="F2" s="3"/>
      <c r="G2" s="3"/>
    </row>
    <row r="3" customFormat="false" ht="13.5" hidden="false" customHeight="true" outlineLevel="0" collapsed="false"/>
    <row r="4" customFormat="false" ht="30" hidden="false" customHeight="true" outlineLevel="0" collapsed="false">
      <c r="A4" s="15" t="s">
        <v>2620</v>
      </c>
      <c r="B4" s="15"/>
      <c r="C4" s="15"/>
      <c r="D4" s="15"/>
      <c r="E4" s="15"/>
      <c r="F4" s="15"/>
      <c r="G4" s="15"/>
    </row>
    <row r="5" customFormat="false" ht="33.75" hidden="false" customHeight="true" outlineLevel="0" collapsed="false">
      <c r="A5" s="7" t="s">
        <v>723</v>
      </c>
      <c r="B5" s="7" t="s">
        <v>2621</v>
      </c>
      <c r="C5" s="7" t="s">
        <v>2622</v>
      </c>
      <c r="D5" s="7" t="s">
        <v>2623</v>
      </c>
      <c r="E5" s="7" t="s">
        <v>2624</v>
      </c>
      <c r="F5" s="7" t="s">
        <v>2625</v>
      </c>
    </row>
    <row r="6" customFormat="false" ht="15" hidden="false" customHeight="true" outlineLevel="0" collapsed="false">
      <c r="A6" s="124" t="s">
        <v>2176</v>
      </c>
      <c r="B6" s="98" t="n">
        <v>52425659</v>
      </c>
      <c r="C6" s="98" t="n">
        <v>32831884</v>
      </c>
      <c r="D6" s="98" t="n">
        <v>37613096</v>
      </c>
      <c r="E6" s="98" t="n">
        <v>14812563</v>
      </c>
      <c r="F6" s="99" t="n">
        <f aca="false">C6/B6</f>
        <v>0.626256009485737</v>
      </c>
    </row>
    <row r="7" customFormat="false" ht="15" hidden="false" customHeight="true" outlineLevel="0" collapsed="false">
      <c r="A7" s="124" t="s">
        <v>2177</v>
      </c>
      <c r="B7" s="98" t="n">
        <v>54012687</v>
      </c>
      <c r="C7" s="98" t="n">
        <v>32875941</v>
      </c>
      <c r="D7" s="98" t="n">
        <v>37790022</v>
      </c>
      <c r="E7" s="98" t="n">
        <v>16222665</v>
      </c>
      <c r="F7" s="99" t="n">
        <f aca="false">C7/B7</f>
        <v>0.608670718418434</v>
      </c>
    </row>
    <row r="8" customFormat="false" ht="15" hidden="false" customHeight="true" outlineLevel="0" collapsed="false">
      <c r="A8" s="124" t="s">
        <v>2178</v>
      </c>
      <c r="B8" s="98" t="n">
        <v>55495618</v>
      </c>
      <c r="C8" s="98" t="n">
        <v>32969015</v>
      </c>
      <c r="D8" s="98" t="n">
        <v>38024671</v>
      </c>
      <c r="E8" s="98" t="n">
        <v>17470948</v>
      </c>
      <c r="F8" s="99" t="n">
        <f aca="false">C8/B8</f>
        <v>0.594083212119559</v>
      </c>
    </row>
    <row r="9" customFormat="false" ht="15" hidden="false" customHeight="true" outlineLevel="0" collapsed="false">
      <c r="A9" s="124" t="s">
        <v>866</v>
      </c>
      <c r="B9" s="98" t="n">
        <v>56980641</v>
      </c>
      <c r="C9" s="98" t="n">
        <v>33392782</v>
      </c>
      <c r="D9" s="98" t="n">
        <v>38609842</v>
      </c>
      <c r="E9" s="98" t="n">
        <v>18370800</v>
      </c>
      <c r="F9" s="99" t="n">
        <f aca="false">C9/B9</f>
        <v>0.586037317481213</v>
      </c>
    </row>
    <row r="10" customFormat="false" ht="15" hidden="false" customHeight="true" outlineLevel="0" collapsed="false">
      <c r="A10" s="124" t="s">
        <v>1057</v>
      </c>
      <c r="B10" s="98" t="n">
        <v>58456670</v>
      </c>
      <c r="C10" s="98" t="n">
        <v>33241572</v>
      </c>
      <c r="D10" s="98" t="n">
        <v>38667256</v>
      </c>
      <c r="E10" s="98" t="n">
        <v>19789413</v>
      </c>
      <c r="F10" s="99" t="n">
        <f aca="false">C10/B10</f>
        <v>0.568653192184912</v>
      </c>
    </row>
    <row r="11" customFormat="false" ht="15" hidden="false" customHeight="true" outlineLevel="0" collapsed="false">
      <c r="A11" s="124" t="s">
        <v>1153</v>
      </c>
      <c r="B11" s="98" t="n">
        <v>59989252</v>
      </c>
      <c r="C11" s="98" t="n">
        <v>33052064</v>
      </c>
      <c r="D11" s="98" t="n">
        <v>38664452</v>
      </c>
      <c r="E11" s="98" t="n">
        <v>21324800</v>
      </c>
      <c r="F11" s="99" t="n">
        <f aca="false">C11/B11</f>
        <v>0.550966429786456</v>
      </c>
    </row>
    <row r="12" customFormat="false" ht="15" hidden="false" customHeight="true" outlineLevel="0" collapsed="false">
      <c r="A12" s="124" t="s">
        <v>844</v>
      </c>
      <c r="B12" s="98" t="n">
        <v>61513836</v>
      </c>
      <c r="C12" s="98" t="n">
        <v>32758129</v>
      </c>
      <c r="D12" s="98" t="n">
        <v>38576339</v>
      </c>
      <c r="E12" s="98" t="n">
        <v>22937498</v>
      </c>
      <c r="F12" s="99" t="n">
        <f aca="false">C12/B12</f>
        <v>0.532532697196774</v>
      </c>
    </row>
    <row r="13" customFormat="false" ht="15" hidden="false" customHeight="true" outlineLevel="0" collapsed="false">
      <c r="A13" s="124" t="s">
        <v>1862</v>
      </c>
      <c r="B13" s="98" t="n">
        <v>62839280</v>
      </c>
      <c r="C13" s="98" t="n">
        <v>31933485</v>
      </c>
      <c r="D13" s="98" t="n">
        <v>37775358</v>
      </c>
      <c r="E13" s="98" t="n">
        <v>25063922</v>
      </c>
      <c r="F13" s="99" t="n">
        <f aca="false">C13/B13</f>
        <v>0.508177130610026</v>
      </c>
    </row>
    <row r="14" customFormat="false" ht="15" hidden="false" customHeight="true" outlineLevel="0" collapsed="false">
      <c r="A14" s="124" t="s">
        <v>1163</v>
      </c>
      <c r="B14" s="98" t="n">
        <v>63891683</v>
      </c>
      <c r="C14" s="98" t="n">
        <v>30536959</v>
      </c>
      <c r="D14" s="98" t="n">
        <v>36355437</v>
      </c>
      <c r="E14" s="98" t="n">
        <v>27536246</v>
      </c>
      <c r="F14" s="99" t="n">
        <f aca="false">C14/B14</f>
        <v>0.477948890468263</v>
      </c>
    </row>
    <row r="15" customFormat="false" ht="15" hidden="false" customHeight="true" outlineLevel="0" collapsed="false">
      <c r="A15" s="124" t="s">
        <v>733</v>
      </c>
      <c r="B15" s="98" t="n">
        <v>65100546</v>
      </c>
      <c r="C15" s="98" t="n">
        <v>29345351</v>
      </c>
      <c r="D15" s="98" t="n">
        <v>35270914</v>
      </c>
      <c r="E15" s="98" t="n">
        <v>29829632</v>
      </c>
      <c r="F15" s="99" t="n">
        <f aca="false">C15/B15</f>
        <v>0.450769660211452</v>
      </c>
    </row>
    <row r="16" customFormat="false" ht="15" hidden="false" customHeight="true" outlineLevel="0" collapsed="false">
      <c r="A16" s="124" t="s">
        <v>741</v>
      </c>
      <c r="B16" s="98" t="n">
        <v>66509869</v>
      </c>
      <c r="C16" s="98" t="n">
        <v>28315412</v>
      </c>
      <c r="D16" s="98" t="n">
        <v>34367703</v>
      </c>
      <c r="E16" s="98" t="n">
        <v>32142166</v>
      </c>
      <c r="F16" s="99" t="n">
        <f aca="false">C16/B16</f>
        <v>0.425732487910929</v>
      </c>
    </row>
    <row r="17" customFormat="false" ht="15" hidden="false" customHeight="true" outlineLevel="0" collapsed="false">
      <c r="A17" s="124" t="s">
        <v>806</v>
      </c>
      <c r="B17" s="98" t="n">
        <v>67995116</v>
      </c>
      <c r="C17" s="98" t="n">
        <v>27673511</v>
      </c>
      <c r="D17" s="98" t="n">
        <v>33913847</v>
      </c>
      <c r="E17" s="98" t="n">
        <v>34081269</v>
      </c>
      <c r="F17" s="99" t="n">
        <f aca="false">C17/B17</f>
        <v>0.406992628705862</v>
      </c>
    </row>
    <row r="18" customFormat="false" ht="15" hidden="false" customHeight="true" outlineLevel="0" collapsed="false">
      <c r="A18" s="124" t="s">
        <v>1122</v>
      </c>
      <c r="B18" s="98" t="n">
        <v>69436593</v>
      </c>
      <c r="C18" s="98" t="n">
        <v>27914766</v>
      </c>
      <c r="D18" s="98" t="n">
        <v>34092223</v>
      </c>
      <c r="E18" s="98" t="n">
        <v>35344370</v>
      </c>
      <c r="F18" s="99" t="n">
        <f aca="false">C18/B18</f>
        <v>0.402018082886066</v>
      </c>
    </row>
    <row r="19" customFormat="false" ht="9.75" hidden="false" customHeight="true" outlineLevel="0" collapsed="false"/>
    <row r="20" customFormat="false" ht="42" hidden="false" customHeight="true" outlineLevel="0" collapsed="false">
      <c r="A20" s="5" t="s">
        <v>2626</v>
      </c>
      <c r="B20" s="5"/>
      <c r="C20" s="5"/>
      <c r="D20" s="5"/>
      <c r="E20" s="5"/>
      <c r="F20" s="5"/>
      <c r="G20" s="5"/>
    </row>
    <row r="21" customFormat="false" ht="9.75" hidden="false" customHeight="true" outlineLevel="0" collapsed="false"/>
    <row r="22" customFormat="false" ht="30" hidden="false" customHeight="true" outlineLevel="0" collapsed="false">
      <c r="A22" s="15" t="s">
        <v>2627</v>
      </c>
      <c r="B22" s="15"/>
      <c r="C22" s="15"/>
      <c r="D22" s="15"/>
      <c r="E22" s="15"/>
      <c r="F22" s="15"/>
      <c r="G22" s="15"/>
    </row>
    <row r="23" customFormat="false" ht="24" hidden="false" customHeight="true" outlineLevel="0" collapsed="false">
      <c r="A23" s="7" t="s">
        <v>2628</v>
      </c>
      <c r="B23" s="7" t="s">
        <v>2629</v>
      </c>
      <c r="C23" s="7" t="s">
        <v>2446</v>
      </c>
      <c r="D23" s="7" t="s">
        <v>2630</v>
      </c>
      <c r="E23" s="7" t="s">
        <v>2631</v>
      </c>
      <c r="F23" s="7" t="s">
        <v>2632</v>
      </c>
      <c r="G23" s="7" t="s">
        <v>2633</v>
      </c>
    </row>
    <row r="24" customFormat="false" ht="67.5" hidden="false" customHeight="true" outlineLevel="0" collapsed="false">
      <c r="A24" s="9" t="s">
        <v>2634</v>
      </c>
      <c r="B24" s="159" t="n">
        <f aca="false">Medicare_OD_Matrix!G29</f>
        <v>14289866.3</v>
      </c>
      <c r="C24" s="159" t="n">
        <f aca="false">Medicare_OD_Matrix!G34</f>
        <v>10637766.2</v>
      </c>
      <c r="D24" s="160" t="n">
        <f aca="false">B24/Utilization_Normalized!$C$12*1000</f>
        <v>436.223518748583</v>
      </c>
      <c r="E24" s="160" t="n">
        <f aca="false">C24/Utilization_Normalized!$C$17*1000</f>
        <v>384.402477878575</v>
      </c>
      <c r="F24" s="129" t="n">
        <f aca="false">(E24/D24)^(1/5)-1</f>
        <v>-0.0249757429802481</v>
      </c>
      <c r="G24" s="144" t="n">
        <f aca="false">E24/D24-1</f>
        <v>-0.118794697311758</v>
      </c>
    </row>
    <row r="25" customFormat="false" ht="67.5" hidden="false" customHeight="true" outlineLevel="0" collapsed="false">
      <c r="A25" s="9" t="s">
        <v>2635</v>
      </c>
      <c r="B25" s="159" t="n">
        <f aca="false">Medicare_OD_Matrix!J10</f>
        <v>1121595.8</v>
      </c>
      <c r="C25" s="159" t="n">
        <f aca="false">Medicare_OD_Matrix!C10</f>
        <v>871758.5</v>
      </c>
      <c r="D25" s="160" t="n">
        <f aca="false">B25/Utilization_Normalized!$C$12*1000</f>
        <v>34.2387014838363</v>
      </c>
      <c r="E25" s="160" t="n">
        <f aca="false">C25/Utilization_Normalized!$C$17*1000</f>
        <v>31.5015503453826</v>
      </c>
      <c r="F25" s="129" t="n">
        <f aca="false">(E25/D25)^(1/5)-1</f>
        <v>-0.0165258969650111</v>
      </c>
      <c r="G25" s="144" t="n">
        <f aca="false">E25/D25-1</f>
        <v>-0.0799431935158471</v>
      </c>
    </row>
    <row r="26" customFormat="false" ht="67.5" hidden="false" customHeight="true" outlineLevel="0" collapsed="false">
      <c r="A26" s="9" t="s">
        <v>2636</v>
      </c>
      <c r="B26" s="159" t="n">
        <f aca="false">Dialysis_ESRD_Channel!B6</f>
        <v>2332855.4</v>
      </c>
      <c r="C26" s="159" t="n">
        <f aca="false">Dialysis_ESRD_Channel!B11</f>
        <v>857750</v>
      </c>
      <c r="D26" s="160" t="n">
        <f aca="false">B26/Utilization_Normalized!$C$12*1000</f>
        <v>71.214549524486</v>
      </c>
      <c r="E26" s="160" t="n">
        <f aca="false">C26/Utilization_Normalized!$C$17*1000</f>
        <v>30.9953442481512</v>
      </c>
      <c r="F26" s="129" t="n">
        <f aca="false">(E26/D26)^(1/5)-1</f>
        <v>-0.153268831631159</v>
      </c>
      <c r="G26" s="144" t="n">
        <f aca="false">E26/D26-1</f>
        <v>-0.564761071226127</v>
      </c>
    </row>
    <row r="27" customFormat="false" ht="67.5" hidden="false" customHeight="true" outlineLevel="0" collapsed="false">
      <c r="A27" s="9" t="s">
        <v>2637</v>
      </c>
      <c r="B27" s="130" t="n">
        <f aca="false">Air_Ambulance_IFT!C15</f>
        <v>46313</v>
      </c>
      <c r="C27" s="130" t="n">
        <f aca="false">Air_Ambulance_IFT!C20</f>
        <v>43682.9</v>
      </c>
      <c r="D27" s="160" t="n">
        <f aca="false">B27/Utilization_Normalized!$C$12*1000</f>
        <v>1.41378648334891</v>
      </c>
      <c r="E27" s="160" t="n">
        <f aca="false">C27/Utilization_Normalized!$C$17*1000</f>
        <v>1.57850949957163</v>
      </c>
      <c r="F27" s="129" t="n">
        <f aca="false">(E27/D27)^(1/5)-1</f>
        <v>0.022286615930853</v>
      </c>
      <c r="G27" s="144" t="n">
        <f aca="false">E27/D27-1</f>
        <v>0.116511947286785</v>
      </c>
    </row>
    <row r="28" customFormat="false" ht="9.75" hidden="false" customHeight="true" outlineLevel="0" collapsed="false"/>
    <row r="29" customFormat="false" ht="67.5" hidden="false" customHeight="true" outlineLevel="0" collapsed="false">
      <c r="A29" s="5" t="s">
        <v>2638</v>
      </c>
      <c r="B29" s="5"/>
      <c r="C29" s="5"/>
      <c r="D29" s="5"/>
      <c r="E29" s="5"/>
      <c r="F29" s="5"/>
      <c r="G29" s="5"/>
    </row>
    <row r="30" customFormat="false" ht="9.75" hidden="false" customHeight="true" outlineLevel="0" collapsed="false"/>
    <row r="31" customFormat="false" ht="30" hidden="false" customHeight="true" outlineLevel="0" collapsed="false">
      <c r="A31" s="15" t="s">
        <v>2639</v>
      </c>
      <c r="B31" s="15"/>
      <c r="C31" s="15"/>
      <c r="D31" s="15"/>
      <c r="E31" s="15"/>
      <c r="F31" s="15"/>
      <c r="G31" s="15"/>
    </row>
    <row r="32" customFormat="false" ht="33.75" hidden="false" customHeight="true" outlineLevel="0" collapsed="false">
      <c r="A32" s="7" t="s">
        <v>723</v>
      </c>
      <c r="B32" s="7" t="s">
        <v>2640</v>
      </c>
      <c r="C32" s="7" t="s">
        <v>2641</v>
      </c>
    </row>
    <row r="33" customFormat="false" ht="30" hidden="false" customHeight="true" outlineLevel="0" collapsed="false">
      <c r="A33" s="124" t="s">
        <v>2176</v>
      </c>
      <c r="B33" s="130" t="n">
        <f aca="false">Air_Ambulance_IFT!C9</f>
        <v>36874</v>
      </c>
      <c r="C33" s="161" t="n">
        <f aca="false">B33/C6*1000</f>
        <v>1.12311556656328</v>
      </c>
    </row>
    <row r="34" customFormat="false" ht="30" hidden="false" customHeight="true" outlineLevel="0" collapsed="false">
      <c r="A34" s="124" t="s">
        <v>2177</v>
      </c>
      <c r="B34" s="130" t="n">
        <f aca="false">Air_Ambulance_IFT!C10</f>
        <v>39399</v>
      </c>
      <c r="C34" s="161" t="n">
        <f aca="false">B34/C7*1000</f>
        <v>1.19841436629905</v>
      </c>
    </row>
    <row r="35" customFormat="false" ht="30" hidden="false" customHeight="true" outlineLevel="0" collapsed="false">
      <c r="A35" s="124" t="s">
        <v>2178</v>
      </c>
      <c r="B35" s="130" t="n">
        <f aca="false">Air_Ambulance_IFT!C11</f>
        <v>41727.1</v>
      </c>
      <c r="C35" s="161" t="n">
        <f aca="false">B35/C8*1000</f>
        <v>1.26564594058998</v>
      </c>
    </row>
    <row r="36" customFormat="false" ht="30" hidden="false" customHeight="true" outlineLevel="0" collapsed="false">
      <c r="A36" s="124" t="s">
        <v>866</v>
      </c>
      <c r="B36" s="130" t="n">
        <f aca="false">Air_Ambulance_IFT!C12</f>
        <v>43744.3</v>
      </c>
      <c r="C36" s="161" t="n">
        <f aca="false">B36/C9*1000</f>
        <v>1.30999268045412</v>
      </c>
    </row>
    <row r="37" customFormat="false" ht="30" hidden="false" customHeight="true" outlineLevel="0" collapsed="false">
      <c r="A37" s="124" t="s">
        <v>1057</v>
      </c>
      <c r="B37" s="130" t="n">
        <f aca="false">Air_Ambulance_IFT!C13</f>
        <v>44506</v>
      </c>
      <c r="C37" s="161" t="n">
        <f aca="false">B37/C10*1000</f>
        <v>1.33886568300681</v>
      </c>
    </row>
    <row r="38" customFormat="false" ht="30" hidden="false" customHeight="true" outlineLevel="0" collapsed="false">
      <c r="A38" s="124" t="s">
        <v>1153</v>
      </c>
      <c r="B38" s="130" t="n">
        <f aca="false">Air_Ambulance_IFT!C14</f>
        <v>44531</v>
      </c>
      <c r="C38" s="161" t="n">
        <f aca="false">B38/C11*1000</f>
        <v>1.34729861348447</v>
      </c>
    </row>
    <row r="39" customFormat="false" ht="30" hidden="false" customHeight="true" outlineLevel="0" collapsed="false">
      <c r="A39" s="124" t="s">
        <v>844</v>
      </c>
      <c r="B39" s="130" t="n">
        <f aca="false">Air_Ambulance_IFT!C15</f>
        <v>46313</v>
      </c>
      <c r="C39" s="161" t="n">
        <f aca="false">B39/C12*1000</f>
        <v>1.41378648334891</v>
      </c>
    </row>
    <row r="40" customFormat="false" ht="30" hidden="false" customHeight="true" outlineLevel="0" collapsed="false">
      <c r="A40" s="124" t="s">
        <v>1862</v>
      </c>
      <c r="B40" s="130" t="n">
        <f aca="false">Air_Ambulance_IFT!C16</f>
        <v>42839</v>
      </c>
      <c r="C40" s="161" t="n">
        <f aca="false">B40/C13*1000</f>
        <v>1.34150719847834</v>
      </c>
    </row>
    <row r="41" customFormat="false" ht="30" hidden="false" customHeight="true" outlineLevel="0" collapsed="false">
      <c r="A41" s="124" t="s">
        <v>1163</v>
      </c>
      <c r="B41" s="130" t="n">
        <f aca="false">Air_Ambulance_IFT!C17</f>
        <v>49044.1</v>
      </c>
      <c r="C41" s="161" t="n">
        <f aca="false">B41/C14*1000</f>
        <v>1.60605710607923</v>
      </c>
    </row>
    <row r="42" customFormat="false" ht="30" hidden="false" customHeight="true" outlineLevel="0" collapsed="false">
      <c r="A42" s="124" t="s">
        <v>733</v>
      </c>
      <c r="B42" s="130" t="n">
        <f aca="false">Air_Ambulance_IFT!C18</f>
        <v>44231.4</v>
      </c>
      <c r="C42" s="161" t="n">
        <f aca="false">B42/C15*1000</f>
        <v>1.50727111766358</v>
      </c>
    </row>
    <row r="43" customFormat="false" ht="30" hidden="false" customHeight="true" outlineLevel="0" collapsed="false">
      <c r="A43" s="124" t="s">
        <v>741</v>
      </c>
      <c r="B43" s="130" t="n">
        <f aca="false">Air_Ambulance_IFT!C19</f>
        <v>44646</v>
      </c>
      <c r="C43" s="161" t="n">
        <f aca="false">B43/C16*1000</f>
        <v>1.57673849139119</v>
      </c>
    </row>
    <row r="44" customFormat="false" ht="30" hidden="false" customHeight="true" outlineLevel="0" collapsed="false">
      <c r="A44" s="124" t="s">
        <v>806</v>
      </c>
      <c r="B44" s="130" t="n">
        <f aca="false">Air_Ambulance_IFT!C20</f>
        <v>43682.9</v>
      </c>
      <c r="C44" s="161" t="n">
        <f aca="false">B44/C17*1000</f>
        <v>1.57850949957163</v>
      </c>
    </row>
    <row r="45" customFormat="false" ht="156" hidden="false" customHeight="true" outlineLevel="0" collapsed="false">
      <c r="A45" s="9" t="s">
        <v>2642</v>
      </c>
      <c r="B45" s="144" t="n">
        <f aca="false">C44/C33-1</f>
        <v>0.405473796789982</v>
      </c>
      <c r="C45" s="9" t="s">
        <v>2643</v>
      </c>
    </row>
    <row r="47" customFormat="false" ht="18" hidden="false" customHeight="true" outlineLevel="0" collapsed="false">
      <c r="A47" s="127" t="s">
        <v>2111</v>
      </c>
      <c r="B47" s="127"/>
      <c r="C47" s="127"/>
      <c r="D47" s="127"/>
      <c r="E47" s="127"/>
      <c r="F47" s="127"/>
      <c r="G47" s="127"/>
    </row>
    <row r="48" customFormat="false" ht="15.75" hidden="false" customHeight="true" outlineLevel="0" collapsed="false">
      <c r="A48" s="9" t="s">
        <v>2644</v>
      </c>
      <c r="B48" s="128" t="n">
        <f aca="false">(B18/B6)^(1/12)-1</f>
        <v>0.0236945128835531</v>
      </c>
    </row>
    <row r="49" customFormat="false" ht="15.75" hidden="false" customHeight="true" outlineLevel="0" collapsed="false">
      <c r="A49" s="9" t="s">
        <v>2645</v>
      </c>
      <c r="B49" s="128" t="n">
        <f aca="false">(C18/C6)^(1/12)-1</f>
        <v>-0.0134293704866757</v>
      </c>
    </row>
    <row r="50" customFormat="false" ht="15.75" hidden="false" customHeight="true" outlineLevel="0" collapsed="false">
      <c r="A50" s="9" t="s">
        <v>2646</v>
      </c>
      <c r="B50" s="128" t="n">
        <f aca="false">(C17/C12)^(1/5)-1</f>
        <v>-0.0331724110367236</v>
      </c>
    </row>
    <row r="51" customFormat="false" ht="15.75" hidden="false" customHeight="true" outlineLevel="0" collapsed="false">
      <c r="A51" s="9" t="s">
        <v>2647</v>
      </c>
      <c r="B51" s="128" t="n">
        <f aca="false">(E18/E6)^(1/12)-1</f>
        <v>0.0751626512174357</v>
      </c>
    </row>
    <row r="52" customFormat="false" ht="30" hidden="false" customHeight="true" outlineLevel="0" collapsed="false">
      <c r="A52" s="3" t="s">
        <v>2648</v>
      </c>
      <c r="B52" s="3"/>
      <c r="C52" s="3"/>
      <c r="D52" s="3"/>
      <c r="E52" s="3"/>
      <c r="F52" s="3"/>
      <c r="G52" s="3"/>
    </row>
  </sheetData>
  <mergeCells count="9">
    <mergeCell ref="A1:G1"/>
    <mergeCell ref="A2:G2"/>
    <mergeCell ref="A4:G4"/>
    <mergeCell ref="A20:G20"/>
    <mergeCell ref="A22:G22"/>
    <mergeCell ref="A29:G29"/>
    <mergeCell ref="A31:G31"/>
    <mergeCell ref="A47:G47"/>
    <mergeCell ref="A52:G5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34"/>
    <col collapsed="false" customWidth="true" hidden="false" outlineLevel="0" max="8" min="3" style="1" width="12"/>
    <col collapsed="false" customWidth="true" hidden="false" outlineLevel="0" max="9" min="9" style="1" width="13"/>
    <col collapsed="false" customWidth="true" hidden="false" outlineLevel="0" max="11" min="10" style="1" width="15"/>
    <col collapsed="false" customWidth="true" hidden="false" outlineLevel="0" max="12" min="12" style="1" width="10"/>
  </cols>
  <sheetData>
    <row r="1" customFormat="false" ht="24" hidden="false" customHeight="true" outlineLevel="0" collapsed="false">
      <c r="A1" s="14" t="s">
        <v>2649</v>
      </c>
      <c r="B1" s="14"/>
      <c r="C1" s="14"/>
      <c r="D1" s="14"/>
      <c r="E1" s="14"/>
      <c r="F1" s="14"/>
      <c r="G1" s="14"/>
      <c r="H1" s="14"/>
      <c r="I1" s="14"/>
      <c r="J1" s="14"/>
      <c r="K1" s="14"/>
      <c r="L1" s="14"/>
    </row>
    <row r="2" customFormat="false" ht="42" hidden="false" customHeight="true" outlineLevel="0" collapsed="false">
      <c r="A2" s="3" t="s">
        <v>2650</v>
      </c>
      <c r="B2" s="3"/>
      <c r="C2" s="3"/>
      <c r="D2" s="3"/>
      <c r="E2" s="3"/>
      <c r="F2" s="3"/>
      <c r="G2" s="3"/>
      <c r="H2" s="3"/>
      <c r="I2" s="3"/>
      <c r="J2" s="3"/>
      <c r="K2" s="3"/>
      <c r="L2" s="3"/>
    </row>
    <row r="3" customFormat="false" ht="13.5" hidden="false" customHeight="true" outlineLevel="0" collapsed="false"/>
    <row r="4" customFormat="false" ht="19.5" hidden="false" customHeight="true" outlineLevel="0" collapsed="false">
      <c r="A4" s="15" t="s">
        <v>2651</v>
      </c>
      <c r="B4" s="15"/>
      <c r="C4" s="15"/>
      <c r="D4" s="15"/>
      <c r="E4" s="15"/>
      <c r="F4" s="15"/>
      <c r="G4" s="15"/>
      <c r="H4" s="15"/>
      <c r="I4" s="15"/>
      <c r="J4" s="15"/>
      <c r="K4" s="15"/>
      <c r="L4" s="15"/>
    </row>
    <row r="5" customFormat="false" ht="33.75" hidden="false" customHeight="true" outlineLevel="0" collapsed="false">
      <c r="A5" s="7" t="s">
        <v>2652</v>
      </c>
      <c r="B5" s="7" t="s">
        <v>2594</v>
      </c>
      <c r="C5" s="7" t="s">
        <v>2653</v>
      </c>
      <c r="D5" s="7" t="s">
        <v>2654</v>
      </c>
      <c r="E5" s="7" t="s">
        <v>2655</v>
      </c>
      <c r="F5" s="7" t="s">
        <v>1994</v>
      </c>
      <c r="G5" s="7" t="s">
        <v>2656</v>
      </c>
      <c r="H5" s="7" t="s">
        <v>1992</v>
      </c>
      <c r="I5" s="7" t="s">
        <v>2657</v>
      </c>
      <c r="J5" s="7" t="s">
        <v>2658</v>
      </c>
      <c r="K5" s="7" t="s">
        <v>2659</v>
      </c>
      <c r="L5" s="7" t="s">
        <v>2660</v>
      </c>
    </row>
    <row r="6" customFormat="false" ht="16.5" hidden="false" customHeight="true" outlineLevel="0" collapsed="false">
      <c r="A6" s="20" t="s">
        <v>2386</v>
      </c>
      <c r="B6" s="9" t="s">
        <v>2387</v>
      </c>
      <c r="C6" s="98" t="n">
        <v>109</v>
      </c>
      <c r="D6" s="98" t="n">
        <v>57395.8</v>
      </c>
      <c r="E6" s="98" t="n">
        <v>2361961.2</v>
      </c>
      <c r="F6" s="98" t="n">
        <v>1451992.2</v>
      </c>
      <c r="G6" s="98" t="n">
        <v>2657.5</v>
      </c>
      <c r="H6" s="98" t="n">
        <v>24255.4</v>
      </c>
      <c r="I6" s="105" t="n">
        <f aca="false">SUM(C6:H6)</f>
        <v>3898371.1</v>
      </c>
      <c r="J6" s="144" t="n">
        <f aca="false">(E6+F6+D6)/I6</f>
        <v>0.993068412599303</v>
      </c>
      <c r="K6" s="99" t="n">
        <f aca="false">(G6+H6)/I6</f>
        <v>0.00690362700462252</v>
      </c>
      <c r="L6" s="99" t="n">
        <f aca="false">C6/I6</f>
        <v>2.79603960741449E-005</v>
      </c>
    </row>
    <row r="7" customFormat="false" ht="15" hidden="false" customHeight="true" outlineLevel="0" collapsed="false">
      <c r="A7" s="20" t="s">
        <v>2392</v>
      </c>
      <c r="B7" s="9" t="s">
        <v>2393</v>
      </c>
      <c r="C7" s="98" t="n">
        <v>334</v>
      </c>
      <c r="D7" s="98" t="n">
        <v>12405</v>
      </c>
      <c r="E7" s="98" t="n">
        <v>502097.8</v>
      </c>
      <c r="F7" s="98" t="n">
        <v>386104.1</v>
      </c>
      <c r="G7" s="98" t="n">
        <v>591</v>
      </c>
      <c r="H7" s="98" t="n">
        <v>1730</v>
      </c>
      <c r="I7" s="105" t="n">
        <f aca="false">SUM(C7:H7)</f>
        <v>903261.9</v>
      </c>
      <c r="J7" s="144" t="n">
        <f aca="false">(E7+F7+D7)/I7</f>
        <v>0.997060653172684</v>
      </c>
      <c r="K7" s="99" t="n">
        <f aca="false">(G7+H7)/I7</f>
        <v>0.00256957588934062</v>
      </c>
      <c r="L7" s="99" t="n">
        <f aca="false">C7/I7</f>
        <v>0.000369770937974911</v>
      </c>
    </row>
    <row r="8" customFormat="false" ht="15" hidden="false" customHeight="true" outlineLevel="0" collapsed="false">
      <c r="A8" s="20" t="s">
        <v>2390</v>
      </c>
      <c r="B8" s="9" t="s">
        <v>2391</v>
      </c>
      <c r="C8" s="98" t="n">
        <v>4293</v>
      </c>
      <c r="D8" s="98" t="n">
        <v>9770.6</v>
      </c>
      <c r="E8" s="98" t="n">
        <v>528079.4</v>
      </c>
      <c r="F8" s="98" t="n">
        <v>554610.2</v>
      </c>
      <c r="G8" s="98" t="n">
        <v>3000.9</v>
      </c>
      <c r="H8" s="98" t="n">
        <v>56613.7</v>
      </c>
      <c r="I8" s="105" t="n">
        <f aca="false">SUM(C8:H8)</f>
        <v>1156367.8</v>
      </c>
      <c r="J8" s="144" t="n">
        <f aca="false">(E8+F8+D8)/I8</f>
        <v>0.944734192702357</v>
      </c>
      <c r="K8" s="99" t="n">
        <f aca="false">(G8+H8)/I8</f>
        <v>0.0515533206649303</v>
      </c>
      <c r="L8" s="99" t="n">
        <f aca="false">C8/I8</f>
        <v>0.00371248663271322</v>
      </c>
    </row>
    <row r="9" customFormat="false" ht="16.5" hidden="false" customHeight="true" outlineLevel="0" collapsed="false">
      <c r="A9" s="20" t="s">
        <v>2394</v>
      </c>
      <c r="B9" s="9" t="s">
        <v>2395</v>
      </c>
      <c r="C9" s="98" t="n">
        <v>57906</v>
      </c>
      <c r="D9" s="98" t="n">
        <v>5952</v>
      </c>
      <c r="E9" s="98" t="n">
        <v>172821.8</v>
      </c>
      <c r="F9" s="98" t="n">
        <v>91661.7</v>
      </c>
      <c r="G9" s="98" t="n">
        <v>205099.3</v>
      </c>
      <c r="H9" s="98" t="n">
        <v>338317.7</v>
      </c>
      <c r="I9" s="105" t="n">
        <f aca="false">SUM(C9:H9)</f>
        <v>871758.5</v>
      </c>
      <c r="J9" s="144" t="n">
        <f aca="false">(E9+F9+D9)/I9</f>
        <v>0.310218368963423</v>
      </c>
      <c r="K9" s="99" t="n">
        <f aca="false">(G9+H9)/I9</f>
        <v>0.623357271537932</v>
      </c>
      <c r="L9" s="99" t="n">
        <f aca="false">C9/I9</f>
        <v>0.0664243594986456</v>
      </c>
    </row>
    <row r="10" customFormat="false" ht="15" hidden="false" customHeight="true" outlineLevel="0" collapsed="false">
      <c r="A10" s="20" t="s">
        <v>2388</v>
      </c>
      <c r="B10" s="9" t="s">
        <v>2389</v>
      </c>
      <c r="C10" s="98" t="n">
        <v>9027</v>
      </c>
      <c r="D10" s="98" t="n">
        <v>17</v>
      </c>
      <c r="E10" s="98" t="n">
        <v>120</v>
      </c>
      <c r="F10" s="98" t="n">
        <v>1233</v>
      </c>
      <c r="G10" s="98" t="n">
        <v>9507.4</v>
      </c>
      <c r="H10" s="98" t="n">
        <v>1221980.9</v>
      </c>
      <c r="I10" s="105" t="n">
        <f aca="false">SUM(C10:H10)</f>
        <v>1241885.3</v>
      </c>
      <c r="J10" s="144" t="n">
        <f aca="false">(E10+F10+D10)/I10</f>
        <v>0.00110316145943591</v>
      </c>
      <c r="K10" s="99" t="n">
        <f aca="false">(G10+H10)/I10</f>
        <v>0.991628051318427</v>
      </c>
      <c r="L10" s="99" t="n">
        <f aca="false">C10/I10</f>
        <v>0.00726878722213718</v>
      </c>
    </row>
    <row r="11" customFormat="false" ht="16.5" hidden="false" customHeight="true" outlineLevel="0" collapsed="false">
      <c r="A11" s="20" t="s">
        <v>2661</v>
      </c>
      <c r="B11" s="9" t="s">
        <v>2662</v>
      </c>
      <c r="C11" s="98" t="n">
        <v>1772</v>
      </c>
      <c r="D11" s="98" t="n">
        <v>138</v>
      </c>
      <c r="E11" s="98" t="n">
        <v>22182.4</v>
      </c>
      <c r="F11" s="98" t="n">
        <v>13316</v>
      </c>
      <c r="G11" s="98" t="n">
        <v>501</v>
      </c>
      <c r="H11" s="98" t="n">
        <v>819840.6</v>
      </c>
      <c r="I11" s="105" t="n">
        <f aca="false">SUM(C11:H11)</f>
        <v>857750</v>
      </c>
      <c r="J11" s="144" t="n">
        <f aca="false">(E11+F11+D11)/I11</f>
        <v>0.0415463713203148</v>
      </c>
      <c r="K11" s="99" t="n">
        <f aca="false">(G11+H11)/I11</f>
        <v>0.956387758670941</v>
      </c>
      <c r="L11" s="99" t="n">
        <f aca="false">C11/I11</f>
        <v>0.00206587000874381</v>
      </c>
    </row>
    <row r="12" customFormat="false" ht="16.5" hidden="false" customHeight="true" outlineLevel="0" collapsed="false">
      <c r="A12" s="20" t="s">
        <v>2663</v>
      </c>
      <c r="B12" s="9" t="s">
        <v>2664</v>
      </c>
      <c r="C12" s="98" t="n">
        <v>77495</v>
      </c>
      <c r="D12" s="98" t="n">
        <v>90014.5</v>
      </c>
      <c r="E12" s="98" t="n">
        <v>4006286.6</v>
      </c>
      <c r="F12" s="98" t="n">
        <v>2850579.1</v>
      </c>
      <c r="G12" s="98" t="n">
        <v>232977</v>
      </c>
      <c r="H12" s="98" t="n">
        <v>3380414</v>
      </c>
      <c r="I12" s="105" t="n">
        <f aca="false">SUM(C12:H12)</f>
        <v>10637766.2</v>
      </c>
      <c r="J12" s="144" t="n">
        <f aca="false">(E12+F12+D12)/I12</f>
        <v>0.653039375879496</v>
      </c>
      <c r="K12" s="99" t="n">
        <f aca="false">(G12+H12)/I12</f>
        <v>0.339675730041896</v>
      </c>
      <c r="L12" s="99" t="n">
        <f aca="false">C12/I12</f>
        <v>0.00728489407860835</v>
      </c>
    </row>
    <row r="13" customFormat="false" ht="9.75" hidden="false" customHeight="true" outlineLevel="0" collapsed="false"/>
    <row r="14" customFormat="false" ht="54.75" hidden="false" customHeight="true" outlineLevel="0" collapsed="false">
      <c r="A14" s="5" t="s">
        <v>2665</v>
      </c>
      <c r="B14" s="5"/>
      <c r="C14" s="5"/>
      <c r="D14" s="5"/>
      <c r="E14" s="5"/>
      <c r="F14" s="5"/>
      <c r="G14" s="5"/>
      <c r="H14" s="5"/>
      <c r="I14" s="5"/>
      <c r="J14" s="5"/>
      <c r="K14" s="5"/>
      <c r="L14" s="5"/>
    </row>
    <row r="15" customFormat="false" ht="9.75" hidden="false" customHeight="true" outlineLevel="0" collapsed="false"/>
    <row r="16" customFormat="false" ht="19.5" hidden="false" customHeight="true" outlineLevel="0" collapsed="false">
      <c r="A16" s="15" t="s">
        <v>2666</v>
      </c>
      <c r="B16" s="15"/>
      <c r="C16" s="15"/>
      <c r="D16" s="15"/>
      <c r="E16" s="15"/>
      <c r="F16" s="15"/>
      <c r="G16" s="15"/>
      <c r="H16" s="15"/>
      <c r="I16" s="15"/>
      <c r="J16" s="15"/>
      <c r="K16" s="15"/>
      <c r="L16" s="15"/>
    </row>
    <row r="17" customFormat="false" ht="30" hidden="false" customHeight="true" outlineLevel="0" collapsed="false">
      <c r="A17" s="7" t="s">
        <v>2652</v>
      </c>
      <c r="B17" s="7" t="s">
        <v>2667</v>
      </c>
      <c r="C17" s="7" t="s">
        <v>2668</v>
      </c>
      <c r="D17" s="7" t="s">
        <v>2669</v>
      </c>
    </row>
    <row r="18" customFormat="false" ht="15" hidden="false" customHeight="true" outlineLevel="0" collapsed="false">
      <c r="A18" s="9" t="s">
        <v>2386</v>
      </c>
      <c r="B18" s="101" t="n">
        <v>0.9833</v>
      </c>
      <c r="C18" s="121" t="n">
        <f aca="false">J6</f>
        <v>0.993068412599303</v>
      </c>
      <c r="D18" s="162" t="n">
        <f aca="false">(C18-B18)*100</f>
        <v>0.976841259930339</v>
      </c>
    </row>
    <row r="19" customFormat="false" ht="15" hidden="false" customHeight="true" outlineLevel="0" collapsed="false">
      <c r="A19" s="9" t="s">
        <v>2392</v>
      </c>
      <c r="B19" s="101" t="n">
        <v>0.9959</v>
      </c>
      <c r="C19" s="121" t="n">
        <f aca="false">J7</f>
        <v>0.997060653172684</v>
      </c>
      <c r="D19" s="162" t="n">
        <f aca="false">(C19-B19)*100</f>
        <v>0.116065317268443</v>
      </c>
    </row>
    <row r="20" customFormat="false" ht="15" hidden="false" customHeight="true" outlineLevel="0" collapsed="false">
      <c r="A20" s="9" t="s">
        <v>2390</v>
      </c>
      <c r="B20" s="101" t="n">
        <v>0.885</v>
      </c>
      <c r="C20" s="121" t="n">
        <f aca="false">J8</f>
        <v>0.944734192702357</v>
      </c>
      <c r="D20" s="162" t="n">
        <f aca="false">(C20-B20)*100</f>
        <v>5.97341927023566</v>
      </c>
    </row>
    <row r="21" customFormat="false" ht="15" hidden="false" customHeight="true" outlineLevel="0" collapsed="false">
      <c r="A21" s="9" t="s">
        <v>2394</v>
      </c>
      <c r="B21" s="101" t="n">
        <v>0.2864</v>
      </c>
      <c r="C21" s="121" t="n">
        <f aca="false">J9</f>
        <v>0.310218368963423</v>
      </c>
      <c r="D21" s="162" t="n">
        <f aca="false">(C21-B21)*100</f>
        <v>2.38183689634228</v>
      </c>
    </row>
    <row r="22" customFormat="false" ht="15" hidden="false" customHeight="true" outlineLevel="0" collapsed="false">
      <c r="A22" s="9" t="s">
        <v>2388</v>
      </c>
      <c r="B22" s="101" t="n">
        <v>0.0012</v>
      </c>
      <c r="C22" s="121" t="n">
        <f aca="false">J10</f>
        <v>0.00110316145943591</v>
      </c>
      <c r="D22" s="162" t="n">
        <f aca="false">(C22-B22)*100</f>
        <v>-0.00968385405640921</v>
      </c>
    </row>
    <row r="23" customFormat="false" ht="15" hidden="false" customHeight="true" outlineLevel="0" collapsed="false">
      <c r="A23" s="9" t="s">
        <v>2661</v>
      </c>
      <c r="B23" s="101" t="n">
        <v>0.0319</v>
      </c>
      <c r="C23" s="121" t="n">
        <f aca="false">J11</f>
        <v>0.0415463713203148</v>
      </c>
      <c r="D23" s="162" t="n">
        <f aca="false">(C23-B23)*100</f>
        <v>0.964637132031478</v>
      </c>
    </row>
    <row r="24" customFormat="false" ht="15" hidden="false" customHeight="true" outlineLevel="0" collapsed="false">
      <c r="A24" s="9" t="s">
        <v>2663</v>
      </c>
      <c r="B24" s="101" t="n">
        <v>0.5834</v>
      </c>
      <c r="C24" s="121" t="n">
        <f aca="false">J12</f>
        <v>0.653039375879496</v>
      </c>
      <c r="D24" s="162" t="n">
        <f aca="false">(C24-B24)*100</f>
        <v>6.96393758794962</v>
      </c>
    </row>
    <row r="25" customFormat="false" ht="9.75" hidden="false" customHeight="true" outlineLevel="0" collapsed="false"/>
    <row r="26" customFormat="false" ht="42" hidden="false" customHeight="true" outlineLevel="0" collapsed="false">
      <c r="A26" s="5" t="s">
        <v>2670</v>
      </c>
      <c r="B26" s="5"/>
      <c r="C26" s="5"/>
      <c r="D26" s="5"/>
      <c r="E26" s="5"/>
      <c r="F26" s="5"/>
      <c r="G26" s="5"/>
      <c r="H26" s="5"/>
      <c r="I26" s="5"/>
      <c r="J26" s="5"/>
      <c r="K26" s="5"/>
      <c r="L26" s="5"/>
    </row>
  </sheetData>
  <mergeCells count="6">
    <mergeCell ref="A1:L1"/>
    <mergeCell ref="A2:L2"/>
    <mergeCell ref="A4:L4"/>
    <mergeCell ref="A14:L14"/>
    <mergeCell ref="A16:L16"/>
    <mergeCell ref="A26:L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3" min="2" style="1" width="14"/>
    <col collapsed="false" customWidth="true" hidden="false" outlineLevel="0" max="4" min="4" style="1" width="10"/>
    <col collapsed="false" customWidth="true" hidden="false" outlineLevel="0" max="5" min="5" style="1" width="15"/>
    <col collapsed="false" customWidth="true" hidden="false" outlineLevel="0" max="6" min="6" style="1" width="14"/>
    <col collapsed="false" customWidth="true" hidden="false" outlineLevel="0" max="7" min="7" style="1" width="13"/>
    <col collapsed="false" customWidth="true" hidden="false" outlineLevel="0" max="8" min="8" style="1" width="14"/>
    <col collapsed="false" customWidth="true" hidden="false" outlineLevel="0" max="9" min="9" style="1" width="13"/>
  </cols>
  <sheetData>
    <row r="1" customFormat="false" ht="24" hidden="false" customHeight="true" outlineLevel="0" collapsed="false">
      <c r="A1" s="14" t="s">
        <v>2671</v>
      </c>
      <c r="B1" s="14"/>
      <c r="C1" s="14"/>
      <c r="D1" s="14"/>
      <c r="E1" s="14"/>
      <c r="F1" s="14"/>
      <c r="G1" s="14"/>
      <c r="H1" s="14"/>
      <c r="I1" s="14"/>
    </row>
    <row r="2" customFormat="false" ht="42" hidden="false" customHeight="true" outlineLevel="0" collapsed="false">
      <c r="A2" s="3" t="s">
        <v>2672</v>
      </c>
      <c r="B2" s="3"/>
      <c r="C2" s="3"/>
      <c r="D2" s="3"/>
      <c r="E2" s="3"/>
      <c r="F2" s="3"/>
      <c r="G2" s="3"/>
      <c r="H2" s="3"/>
      <c r="I2" s="3"/>
    </row>
    <row r="3" customFormat="false" ht="13.5" hidden="false" customHeight="true" outlineLevel="0" collapsed="false"/>
    <row r="4" customFormat="false" ht="30" hidden="false" customHeight="true" outlineLevel="0" collapsed="false">
      <c r="A4" s="15" t="s">
        <v>2673</v>
      </c>
      <c r="B4" s="15"/>
      <c r="C4" s="15"/>
      <c r="D4" s="15"/>
      <c r="E4" s="15"/>
      <c r="F4" s="15"/>
      <c r="G4" s="15"/>
      <c r="H4" s="15"/>
      <c r="I4" s="15"/>
    </row>
    <row r="5" customFormat="false" ht="33.75" hidden="false" customHeight="true" outlineLevel="0" collapsed="false">
      <c r="A5" s="7" t="s">
        <v>723</v>
      </c>
      <c r="B5" s="7" t="s">
        <v>2674</v>
      </c>
      <c r="C5" s="7" t="s">
        <v>2635</v>
      </c>
      <c r="D5" s="7" t="s">
        <v>2675</v>
      </c>
      <c r="E5" s="7" t="s">
        <v>2676</v>
      </c>
      <c r="F5" s="7" t="s">
        <v>2677</v>
      </c>
      <c r="G5" s="7" t="s">
        <v>2678</v>
      </c>
      <c r="H5" s="7" t="s">
        <v>2679</v>
      </c>
      <c r="I5" s="7" t="s">
        <v>2680</v>
      </c>
    </row>
    <row r="6" customFormat="false" ht="15" hidden="false" customHeight="true" outlineLevel="0" collapsed="false">
      <c r="A6" s="124" t="s">
        <v>1062</v>
      </c>
      <c r="B6" s="98" t="n">
        <v>51683</v>
      </c>
      <c r="C6" s="98" t="n">
        <v>34856</v>
      </c>
      <c r="D6" s="99" t="n">
        <f aca="false">C6/B6</f>
        <v>0.674419054621442</v>
      </c>
      <c r="E6" s="100" t="n">
        <v>221101793.05</v>
      </c>
      <c r="F6" s="100" t="n">
        <v>148456961.66</v>
      </c>
      <c r="G6" s="147" t="n">
        <f aca="false">E6/B6</f>
        <v>4278.03713116499</v>
      </c>
      <c r="H6" s="100" t="n">
        <v>89267158.28</v>
      </c>
      <c r="I6" s="98" t="n">
        <v>3090952.1</v>
      </c>
    </row>
    <row r="7" customFormat="false" ht="15" hidden="false" customHeight="true" outlineLevel="0" collapsed="false">
      <c r="A7" s="124" t="s">
        <v>2173</v>
      </c>
      <c r="B7" s="98" t="n">
        <v>54878</v>
      </c>
      <c r="C7" s="98" t="n">
        <v>35026</v>
      </c>
      <c r="D7" s="99" t="n">
        <f aca="false">C7/B7</f>
        <v>0.638252122890776</v>
      </c>
      <c r="E7" s="100" t="n">
        <v>238759404.25</v>
      </c>
      <c r="F7" s="100" t="n">
        <v>152235698.69</v>
      </c>
      <c r="G7" s="147" t="n">
        <f aca="false">E7/B7</f>
        <v>4350.73078920515</v>
      </c>
      <c r="H7" s="100" t="n">
        <v>94434359.25</v>
      </c>
      <c r="I7" s="98" t="n">
        <v>3250718.2</v>
      </c>
    </row>
    <row r="8" customFormat="false" ht="15" hidden="false" customHeight="true" outlineLevel="0" collapsed="false">
      <c r="A8" s="124" t="s">
        <v>778</v>
      </c>
      <c r="B8" s="98" t="n">
        <v>59280</v>
      </c>
      <c r="C8" s="98" t="n">
        <v>37231</v>
      </c>
      <c r="D8" s="99" t="n">
        <f aca="false">C8/B8</f>
        <v>0.62805330634278</v>
      </c>
      <c r="E8" s="100" t="n">
        <v>258557026.29</v>
      </c>
      <c r="F8" s="100" t="n">
        <v>162633295.15</v>
      </c>
      <c r="G8" s="147" t="n">
        <f aca="false">E8/B8</f>
        <v>4361.62325050607</v>
      </c>
      <c r="H8" s="100" t="n">
        <v>106489658.53</v>
      </c>
      <c r="I8" s="98" t="n">
        <v>3611674.5</v>
      </c>
    </row>
    <row r="9" customFormat="false" ht="15" hidden="false" customHeight="true" outlineLevel="0" collapsed="false">
      <c r="A9" s="124" t="s">
        <v>2176</v>
      </c>
      <c r="B9" s="98" t="n">
        <v>57745</v>
      </c>
      <c r="C9" s="98" t="n">
        <v>36874</v>
      </c>
      <c r="D9" s="99" t="n">
        <f aca="false">C9/B9</f>
        <v>0.638566109619881</v>
      </c>
      <c r="E9" s="100" t="n">
        <v>252603570.64</v>
      </c>
      <c r="F9" s="100" t="n">
        <v>161587231.99</v>
      </c>
      <c r="G9" s="147" t="n">
        <f aca="false">E9/B9</f>
        <v>4374.46654498225</v>
      </c>
      <c r="H9" s="100" t="n">
        <v>104877933.26</v>
      </c>
      <c r="I9" s="98" t="n">
        <v>3549434.5</v>
      </c>
    </row>
    <row r="10" customFormat="false" ht="15" hidden="false" customHeight="true" outlineLevel="0" collapsed="false">
      <c r="A10" s="124" t="s">
        <v>2177</v>
      </c>
      <c r="B10" s="98" t="n">
        <v>60929</v>
      </c>
      <c r="C10" s="98" t="n">
        <v>39399</v>
      </c>
      <c r="D10" s="99" t="n">
        <f aca="false">C10/B10</f>
        <v>0.646637890003118</v>
      </c>
      <c r="E10" s="100" t="n">
        <v>272812659.33</v>
      </c>
      <c r="F10" s="100" t="n">
        <v>176097822.3</v>
      </c>
      <c r="G10" s="147" t="n">
        <f aca="false">E10/B10</f>
        <v>4477.55025242495</v>
      </c>
      <c r="H10" s="100" t="n">
        <v>112755332.07</v>
      </c>
      <c r="I10" s="98" t="n">
        <v>3717692.7</v>
      </c>
    </row>
    <row r="11" customFormat="false" ht="15" hidden="false" customHeight="true" outlineLevel="0" collapsed="false">
      <c r="A11" s="124" t="s">
        <v>2178</v>
      </c>
      <c r="B11" s="98" t="n">
        <v>66077.1</v>
      </c>
      <c r="C11" s="98" t="n">
        <v>41727.1</v>
      </c>
      <c r="D11" s="99" t="n">
        <f aca="false">C11/B11</f>
        <v>0.631491091467392</v>
      </c>
      <c r="E11" s="100" t="n">
        <v>295326210.18</v>
      </c>
      <c r="F11" s="100" t="n">
        <v>186364788.42</v>
      </c>
      <c r="G11" s="147" t="n">
        <f aca="false">E11/B11</f>
        <v>4469.41845480507</v>
      </c>
      <c r="H11" s="100" t="n">
        <v>124081475.23</v>
      </c>
      <c r="I11" s="98" t="n">
        <v>4084598.5</v>
      </c>
    </row>
    <row r="12" customFormat="false" ht="15" hidden="false" customHeight="true" outlineLevel="0" collapsed="false">
      <c r="A12" s="124" t="s">
        <v>866</v>
      </c>
      <c r="B12" s="98" t="n">
        <v>69160.3</v>
      </c>
      <c r="C12" s="98" t="n">
        <v>43744.3</v>
      </c>
      <c r="D12" s="99" t="n">
        <f aca="false">C12/B12</f>
        <v>0.632505931871319</v>
      </c>
      <c r="E12" s="100" t="n">
        <v>308691639.02</v>
      </c>
      <c r="F12" s="100" t="n">
        <v>194326651.09</v>
      </c>
      <c r="G12" s="147" t="n">
        <f aca="false">E12/B12</f>
        <v>4463.42249845648</v>
      </c>
      <c r="H12" s="100" t="n">
        <v>130427958.84</v>
      </c>
      <c r="I12" s="98" t="n">
        <v>4315175.1</v>
      </c>
    </row>
    <row r="13" customFormat="false" ht="15" hidden="false" customHeight="true" outlineLevel="0" collapsed="false">
      <c r="A13" s="124" t="s">
        <v>1057</v>
      </c>
      <c r="B13" s="98" t="n">
        <v>69530.8</v>
      </c>
      <c r="C13" s="98" t="n">
        <v>44506</v>
      </c>
      <c r="D13" s="99" t="n">
        <f aca="false">C13/B13</f>
        <v>0.640090434742589</v>
      </c>
      <c r="E13" s="100" t="n">
        <v>313924572.98</v>
      </c>
      <c r="F13" s="100" t="n">
        <v>199909495.58</v>
      </c>
      <c r="G13" s="147" t="n">
        <f aca="false">E13/B13</f>
        <v>4514.89948310677</v>
      </c>
      <c r="H13" s="100" t="n">
        <v>136416298.33</v>
      </c>
      <c r="I13" s="98" t="n">
        <v>4450917.8</v>
      </c>
    </row>
    <row r="14" customFormat="false" ht="15" hidden="false" customHeight="true" outlineLevel="0" collapsed="false">
      <c r="A14" s="124" t="s">
        <v>1153</v>
      </c>
      <c r="B14" s="98" t="n">
        <v>68837</v>
      </c>
      <c r="C14" s="98" t="n">
        <v>44531</v>
      </c>
      <c r="D14" s="99" t="n">
        <f aca="false">C14/B14</f>
        <v>0.646905007481442</v>
      </c>
      <c r="E14" s="100" t="n">
        <v>314630412.48</v>
      </c>
      <c r="F14" s="100" t="n">
        <v>203239046.86</v>
      </c>
      <c r="G14" s="147" t="n">
        <f aca="false">E14/B14</f>
        <v>4570.65840289379</v>
      </c>
      <c r="H14" s="100" t="n">
        <v>138895191.68</v>
      </c>
      <c r="I14" s="98" t="n">
        <v>4468331</v>
      </c>
    </row>
    <row r="15" customFormat="false" ht="15" hidden="false" customHeight="true" outlineLevel="0" collapsed="false">
      <c r="A15" s="124" t="s">
        <v>844</v>
      </c>
      <c r="B15" s="98" t="n">
        <v>70440</v>
      </c>
      <c r="C15" s="98" t="n">
        <v>46313</v>
      </c>
      <c r="D15" s="99" t="n">
        <f aca="false">C15/B15</f>
        <v>0.657481544576945</v>
      </c>
      <c r="E15" s="100" t="n">
        <v>327899868.57</v>
      </c>
      <c r="F15" s="100" t="n">
        <v>215111001.77</v>
      </c>
      <c r="G15" s="147" t="n">
        <f aca="false">E15/B15</f>
        <v>4655.02368781942</v>
      </c>
      <c r="H15" s="100" t="n">
        <v>144952621.42</v>
      </c>
      <c r="I15" s="98" t="n">
        <v>4574399.9</v>
      </c>
    </row>
    <row r="16" customFormat="false" ht="15" hidden="false" customHeight="true" outlineLevel="0" collapsed="false">
      <c r="A16" s="124" t="s">
        <v>1862</v>
      </c>
      <c r="B16" s="98" t="n">
        <v>65478</v>
      </c>
      <c r="C16" s="98" t="n">
        <v>42839</v>
      </c>
      <c r="D16" s="99" t="n">
        <f aca="false">C16/B16</f>
        <v>0.654250282537646</v>
      </c>
      <c r="E16" s="100" t="n">
        <v>308423853.38</v>
      </c>
      <c r="F16" s="100" t="n">
        <v>201276738.25</v>
      </c>
      <c r="G16" s="147" t="n">
        <f aca="false">E16/B16</f>
        <v>4710.34322031828</v>
      </c>
      <c r="H16" s="100" t="n">
        <v>142551620.78</v>
      </c>
      <c r="I16" s="98" t="n">
        <v>4449449.3</v>
      </c>
    </row>
    <row r="17" customFormat="false" ht="15" hidden="false" customHeight="true" outlineLevel="0" collapsed="false">
      <c r="A17" s="124" t="s">
        <v>1163</v>
      </c>
      <c r="B17" s="98" t="n">
        <v>74365.7</v>
      </c>
      <c r="C17" s="98" t="n">
        <v>49044.1</v>
      </c>
      <c r="D17" s="99" t="n">
        <f aca="false">C17/B17</f>
        <v>0.659498935665233</v>
      </c>
      <c r="E17" s="100" t="n">
        <v>330413005.9</v>
      </c>
      <c r="F17" s="100" t="n">
        <v>213906209.56</v>
      </c>
      <c r="G17" s="147" t="n">
        <f aca="false">E17/B17</f>
        <v>4443.08338252716</v>
      </c>
      <c r="H17" s="100" t="n">
        <v>155907794.93</v>
      </c>
      <c r="I17" s="98" t="n">
        <v>4908011.1</v>
      </c>
    </row>
    <row r="18" customFormat="false" ht="15" hidden="false" customHeight="true" outlineLevel="0" collapsed="false">
      <c r="A18" s="124" t="s">
        <v>733</v>
      </c>
      <c r="B18" s="98" t="n">
        <v>67966.4</v>
      </c>
      <c r="C18" s="98" t="n">
        <v>44231.4</v>
      </c>
      <c r="D18" s="99" t="n">
        <f aca="false">C18/B18</f>
        <v>0.650783328232774</v>
      </c>
      <c r="E18" s="100" t="n">
        <v>333036291.37</v>
      </c>
      <c r="F18" s="100" t="n">
        <v>215429603.68</v>
      </c>
      <c r="G18" s="147" t="n">
        <f aca="false">E18/B18</f>
        <v>4900.01370338873</v>
      </c>
      <c r="H18" s="100" t="n">
        <v>155703788.6</v>
      </c>
      <c r="I18" s="98" t="n">
        <v>4658143.8</v>
      </c>
    </row>
    <row r="19" customFormat="false" ht="15" hidden="false" customHeight="true" outlineLevel="0" collapsed="false">
      <c r="A19" s="124" t="s">
        <v>741</v>
      </c>
      <c r="B19" s="98" t="n">
        <v>67956</v>
      </c>
      <c r="C19" s="98" t="n">
        <v>44646</v>
      </c>
      <c r="D19" s="99" t="n">
        <f aca="false">C19/B19</f>
        <v>0.656983930778739</v>
      </c>
      <c r="E19" s="100" t="n">
        <v>360933082.14</v>
      </c>
      <c r="F19" s="100" t="n">
        <v>234490932.45</v>
      </c>
      <c r="G19" s="147" t="n">
        <f aca="false">E19/B19</f>
        <v>5311.27615133322</v>
      </c>
      <c r="H19" s="100" t="n">
        <v>167802882.4</v>
      </c>
      <c r="I19" s="98" t="n">
        <v>4643725.1</v>
      </c>
    </row>
    <row r="20" customFormat="false" ht="15" hidden="false" customHeight="true" outlineLevel="0" collapsed="false">
      <c r="A20" s="124" t="s">
        <v>806</v>
      </c>
      <c r="B20" s="98" t="n">
        <v>66607.9</v>
      </c>
      <c r="C20" s="98" t="n">
        <v>43682.9</v>
      </c>
      <c r="D20" s="99" t="n">
        <f aca="false">C20/B20</f>
        <v>0.655821606746347</v>
      </c>
      <c r="E20" s="100" t="n">
        <v>363166577.61</v>
      </c>
      <c r="F20" s="100" t="n">
        <v>236209166.39</v>
      </c>
      <c r="G20" s="147" t="n">
        <f aca="false">E20/B20</f>
        <v>5452.30487089369</v>
      </c>
      <c r="H20" s="100" t="n">
        <v>168057334.35</v>
      </c>
      <c r="I20" s="98" t="n">
        <v>4524331</v>
      </c>
    </row>
    <row r="21" customFormat="false" ht="9.75" hidden="false" customHeight="true" outlineLevel="0" collapsed="false"/>
    <row r="22" customFormat="false" ht="24" hidden="false" customHeight="true" outlineLevel="0" collapsed="false">
      <c r="A22" s="7" t="s">
        <v>1902</v>
      </c>
      <c r="B22" s="7" t="s">
        <v>581</v>
      </c>
      <c r="C22" s="7" t="s">
        <v>725</v>
      </c>
    </row>
    <row r="23" customFormat="false" ht="142.5" hidden="false" customHeight="true" outlineLevel="0" collapsed="false">
      <c r="A23" s="9" t="s">
        <v>2681</v>
      </c>
      <c r="B23" s="99" t="n">
        <f aca="false">C20/C6-1</f>
        <v>0.253239040624283</v>
      </c>
      <c r="C23" s="9" t="s">
        <v>2682</v>
      </c>
    </row>
    <row r="24" customFormat="false" ht="130.5" hidden="false" customHeight="true" outlineLevel="0" collapsed="false">
      <c r="A24" s="97" t="s">
        <v>2683</v>
      </c>
      <c r="B24" s="99" t="n">
        <f aca="false">C20/B20</f>
        <v>0.655821606746347</v>
      </c>
      <c r="C24" s="9" t="s">
        <v>2684</v>
      </c>
    </row>
    <row r="25" customFormat="false" ht="205.5" hidden="false" customHeight="true" outlineLevel="0" collapsed="false">
      <c r="A25" s="9" t="s">
        <v>2685</v>
      </c>
      <c r="B25" s="147" t="n">
        <f aca="false">E20/B20</f>
        <v>5452.30487089369</v>
      </c>
      <c r="C25" s="9" t="s">
        <v>2686</v>
      </c>
    </row>
    <row r="26" customFormat="false" ht="9.75" hidden="false" customHeight="true" outlineLevel="0" collapsed="false"/>
    <row r="27" customFormat="false" ht="19.5" hidden="false" customHeight="true" outlineLevel="0" collapsed="false">
      <c r="A27" s="15" t="s">
        <v>2687</v>
      </c>
      <c r="B27" s="15"/>
      <c r="C27" s="15"/>
      <c r="D27" s="15"/>
      <c r="E27" s="15"/>
      <c r="F27" s="15"/>
      <c r="G27" s="15"/>
      <c r="H27" s="15"/>
      <c r="I27" s="15"/>
    </row>
    <row r="28" customFormat="false" ht="33.75" hidden="false" customHeight="true" outlineLevel="0" collapsed="false">
      <c r="A28" s="7" t="s">
        <v>2557</v>
      </c>
      <c r="B28" s="7" t="s">
        <v>2594</v>
      </c>
      <c r="C28" s="7" t="s">
        <v>2688</v>
      </c>
      <c r="D28" s="7" t="s">
        <v>2689</v>
      </c>
      <c r="E28" s="7" t="s">
        <v>2690</v>
      </c>
      <c r="F28" s="7" t="s">
        <v>2691</v>
      </c>
    </row>
    <row r="29" customFormat="false" ht="30" hidden="false" customHeight="true" outlineLevel="0" collapsed="false">
      <c r="A29" s="124" t="s">
        <v>2394</v>
      </c>
      <c r="B29" s="9" t="s">
        <v>2395</v>
      </c>
      <c r="C29" s="98" t="n">
        <v>43682.9</v>
      </c>
      <c r="D29" s="101" t="n">
        <v>0.655821606746347</v>
      </c>
      <c r="E29" s="98" t="n">
        <v>560</v>
      </c>
      <c r="F29" s="101" t="n">
        <v>0.0428232775101323</v>
      </c>
    </row>
    <row r="30" customFormat="false" ht="54.75" hidden="false" customHeight="true" outlineLevel="0" collapsed="false">
      <c r="A30" s="124" t="s">
        <v>2692</v>
      </c>
      <c r="B30" s="9" t="s">
        <v>2693</v>
      </c>
      <c r="C30" s="98" t="n">
        <v>16214</v>
      </c>
      <c r="D30" s="101" t="n">
        <v>0.243424578766182</v>
      </c>
      <c r="E30" s="98" t="n">
        <v>44</v>
      </c>
      <c r="F30" s="101" t="n">
        <v>0.00336468609008182</v>
      </c>
    </row>
    <row r="31" customFormat="false" ht="15" hidden="false" customHeight="true" outlineLevel="0" collapsed="false">
      <c r="A31" s="124" t="s">
        <v>2392</v>
      </c>
      <c r="B31" s="9" t="s">
        <v>2393</v>
      </c>
      <c r="C31" s="98" t="n">
        <v>2819</v>
      </c>
      <c r="D31" s="101" t="n">
        <v>0.0423223071137208</v>
      </c>
      <c r="E31" s="98" t="n">
        <v>17</v>
      </c>
      <c r="F31" s="101" t="n">
        <v>0.00129999235298616</v>
      </c>
    </row>
    <row r="32" customFormat="false" ht="30" hidden="false" customHeight="true" outlineLevel="0" collapsed="false">
      <c r="A32" s="124" t="s">
        <v>2694</v>
      </c>
      <c r="B32" s="9" t="s">
        <v>2695</v>
      </c>
      <c r="C32" s="98" t="n">
        <v>2557</v>
      </c>
      <c r="D32" s="101" t="n">
        <v>0.0383888397622504</v>
      </c>
    </row>
    <row r="33" customFormat="false" ht="54.75" hidden="false" customHeight="true" outlineLevel="0" collapsed="false">
      <c r="A33" s="124" t="s">
        <v>2696</v>
      </c>
      <c r="B33" s="9" t="s">
        <v>2697</v>
      </c>
      <c r="C33" s="98" t="n">
        <v>989</v>
      </c>
      <c r="D33" s="101" t="n">
        <v>0.0148480885900922</v>
      </c>
      <c r="E33" s="98" t="n">
        <v>12370</v>
      </c>
      <c r="F33" s="101" t="n">
        <v>0.945935612143458</v>
      </c>
    </row>
    <row r="34" customFormat="false" ht="9.75" hidden="false" customHeight="true" outlineLevel="0" collapsed="false"/>
    <row r="35" customFormat="false" ht="42" hidden="false" customHeight="true" outlineLevel="0" collapsed="false">
      <c r="A35" s="5" t="s">
        <v>2698</v>
      </c>
      <c r="B35" s="5"/>
      <c r="C35" s="5"/>
      <c r="D35" s="5"/>
      <c r="E35" s="5"/>
      <c r="F35" s="5"/>
      <c r="G35" s="5"/>
      <c r="H35" s="5"/>
      <c r="I35" s="5"/>
    </row>
    <row r="36" customFormat="false" ht="9.75" hidden="false" customHeight="true" outlineLevel="0" collapsed="false"/>
    <row r="37" customFormat="false" ht="19.5" hidden="false" customHeight="true" outlineLevel="0" collapsed="false">
      <c r="A37" s="15" t="s">
        <v>2699</v>
      </c>
      <c r="B37" s="15"/>
      <c r="C37" s="15"/>
      <c r="D37" s="15"/>
      <c r="E37" s="15"/>
      <c r="F37" s="15"/>
      <c r="G37" s="15"/>
      <c r="H37" s="15"/>
      <c r="I37" s="15"/>
    </row>
    <row r="38" customFormat="false" ht="24" hidden="false" customHeight="true" outlineLevel="0" collapsed="false">
      <c r="A38" s="7" t="s">
        <v>1902</v>
      </c>
      <c r="B38" s="7" t="s">
        <v>1057</v>
      </c>
      <c r="C38" s="7" t="s">
        <v>1862</v>
      </c>
      <c r="D38" s="7" t="s">
        <v>2700</v>
      </c>
      <c r="E38" s="7" t="s">
        <v>725</v>
      </c>
    </row>
    <row r="39" customFormat="false" ht="54.75" hidden="false" customHeight="true" outlineLevel="0" collapsed="false">
      <c r="A39" s="9" t="s">
        <v>2701</v>
      </c>
      <c r="B39" s="100" t="n">
        <v>11608</v>
      </c>
      <c r="C39" s="100" t="n">
        <v>18668</v>
      </c>
      <c r="D39" s="99" t="n">
        <f aca="false">C39/B39-1</f>
        <v>0.608201240523777</v>
      </c>
      <c r="E39" s="9" t="s">
        <v>2702</v>
      </c>
    </row>
    <row r="40" customFormat="false" ht="54.75" hidden="false" customHeight="true" outlineLevel="0" collapsed="false">
      <c r="A40" s="9" t="s">
        <v>2703</v>
      </c>
      <c r="B40" s="100" t="n">
        <v>24924</v>
      </c>
      <c r="C40" s="100" t="n">
        <v>30446</v>
      </c>
      <c r="D40" s="99" t="n">
        <f aca="false">C40/B40-1</f>
        <v>0.221553522709036</v>
      </c>
      <c r="E40" s="9" t="s">
        <v>2702</v>
      </c>
    </row>
    <row r="41" customFormat="false" ht="54.75" hidden="false" customHeight="true" outlineLevel="0" collapsed="false">
      <c r="A41" s="9" t="s">
        <v>2704</v>
      </c>
      <c r="B41" s="100" t="n">
        <v>3570</v>
      </c>
      <c r="C41" s="100" t="n">
        <v>3739</v>
      </c>
      <c r="D41" s="99" t="n">
        <f aca="false">C41/B41-1</f>
        <v>0.0473389355742297</v>
      </c>
      <c r="E41" s="9" t="s">
        <v>2702</v>
      </c>
    </row>
    <row r="42" customFormat="false" ht="54.75" hidden="false" customHeight="true" outlineLevel="0" collapsed="false">
      <c r="A42" s="9" t="s">
        <v>2705</v>
      </c>
      <c r="B42" s="100" t="n">
        <v>8855</v>
      </c>
      <c r="C42" s="100" t="n">
        <v>15624</v>
      </c>
      <c r="D42" s="99" t="n">
        <f aca="false">C42/B42-1</f>
        <v>0.764426877470356</v>
      </c>
      <c r="E42" s="9" t="s">
        <v>2702</v>
      </c>
    </row>
    <row r="43" customFormat="false" ht="54.75" hidden="false" customHeight="true" outlineLevel="0" collapsed="false">
      <c r="A43" s="9" t="s">
        <v>2706</v>
      </c>
      <c r="B43" s="100" t="n">
        <v>19210</v>
      </c>
      <c r="C43" s="100" t="n">
        <v>24507</v>
      </c>
      <c r="D43" s="99" t="n">
        <f aca="false">C43/B43-1</f>
        <v>0.275741801145237</v>
      </c>
      <c r="E43" s="9" t="s">
        <v>2702</v>
      </c>
    </row>
    <row r="44" customFormat="false" ht="54.75" hidden="false" customHeight="true" outlineLevel="0" collapsed="false">
      <c r="A44" s="9" t="s">
        <v>2707</v>
      </c>
      <c r="B44" s="100" t="n">
        <v>3071</v>
      </c>
      <c r="C44" s="100" t="n">
        <v>3216</v>
      </c>
      <c r="D44" s="99" t="n">
        <f aca="false">C44/B44-1</f>
        <v>0.0472158905893845</v>
      </c>
      <c r="E44" s="9" t="s">
        <v>2702</v>
      </c>
    </row>
    <row r="45" customFormat="false" ht="268.5" hidden="false" customHeight="true" outlineLevel="0" collapsed="false">
      <c r="A45" s="8" t="s">
        <v>2708</v>
      </c>
      <c r="B45" s="163" t="n">
        <f aca="false">C39/C41</f>
        <v>4.99277881786574</v>
      </c>
      <c r="C45" s="9" t="s">
        <v>2709</v>
      </c>
    </row>
    <row r="46" customFormat="false" ht="9.75" hidden="false" customHeight="true" outlineLevel="0" collapsed="false"/>
    <row r="47" customFormat="false" ht="42" hidden="false" customHeight="true" outlineLevel="0" collapsed="false">
      <c r="A47" s="5" t="s">
        <v>2710</v>
      </c>
      <c r="B47" s="5"/>
      <c r="C47" s="5"/>
      <c r="D47" s="5"/>
      <c r="E47" s="5"/>
      <c r="F47" s="5"/>
      <c r="G47" s="5"/>
      <c r="H47" s="5"/>
      <c r="I47" s="5"/>
    </row>
    <row r="49" customFormat="false" ht="18" hidden="false" customHeight="true" outlineLevel="0" collapsed="false">
      <c r="A49" s="127" t="s">
        <v>2111</v>
      </c>
      <c r="B49" s="127"/>
      <c r="C49" s="127"/>
      <c r="D49" s="127"/>
      <c r="E49" s="127"/>
      <c r="F49" s="127"/>
      <c r="G49" s="127"/>
      <c r="H49" s="127"/>
    </row>
    <row r="50" customFormat="false" ht="15.75" hidden="false" customHeight="true" outlineLevel="0" collapsed="false">
      <c r="A50" s="9" t="s">
        <v>2711</v>
      </c>
      <c r="B50" s="128" t="n">
        <f aca="false">(B20/B6)^(1/14)-1</f>
        <v>0.0182862020607233</v>
      </c>
    </row>
    <row r="51" customFormat="false" ht="15.75" hidden="false" customHeight="true" outlineLevel="0" collapsed="false">
      <c r="A51" s="9" t="s">
        <v>2616</v>
      </c>
      <c r="B51" s="128" t="n">
        <f aca="false">(B20/B15)^(1/5)-1</f>
        <v>-0.0111252702189156</v>
      </c>
    </row>
    <row r="52" customFormat="false" ht="15.75" hidden="false" customHeight="true" outlineLevel="0" collapsed="false">
      <c r="A52" s="9" t="s">
        <v>2712</v>
      </c>
      <c r="B52" s="133" t="str">
        <f aca="false">INDEX(A6:A20,MATCH(MAX(B6:B20),B6:B20,0))</f>
        <v>2021</v>
      </c>
    </row>
    <row r="53" customFormat="false" ht="15.75" hidden="false" customHeight="true" outlineLevel="0" collapsed="false">
      <c r="A53" s="9" t="s">
        <v>2713</v>
      </c>
      <c r="B53" s="154" t="n">
        <f aca="false">B20/MAX(B6:B20)</f>
        <v>0.895680401045105</v>
      </c>
    </row>
    <row r="54" customFormat="false" ht="30" hidden="false" customHeight="true" outlineLevel="0" collapsed="false">
      <c r="A54" s="3" t="s">
        <v>2714</v>
      </c>
      <c r="B54" s="3"/>
      <c r="C54" s="3"/>
      <c r="D54" s="3"/>
      <c r="E54" s="3"/>
      <c r="F54" s="3"/>
      <c r="G54" s="3"/>
      <c r="H54" s="3"/>
    </row>
  </sheetData>
  <mergeCells count="9">
    <mergeCell ref="A1:I1"/>
    <mergeCell ref="A2:I2"/>
    <mergeCell ref="A4:I4"/>
    <mergeCell ref="A27:I27"/>
    <mergeCell ref="A35:I35"/>
    <mergeCell ref="A37:I37"/>
    <mergeCell ref="A47:I47"/>
    <mergeCell ref="A49:H49"/>
    <mergeCell ref="A54:H5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46"/>
    <col collapsed="false" customWidth="true" hidden="false" outlineLevel="0" max="3" min="3" style="1" width="14"/>
    <col collapsed="false" customWidth="true" hidden="false" outlineLevel="0" max="4" min="4" style="1" width="16"/>
    <col collapsed="false" customWidth="true" hidden="false" outlineLevel="0" max="5" min="5" style="1" width="14"/>
    <col collapsed="false" customWidth="true" hidden="false" outlineLevel="0" max="6" min="6" style="1" width="13"/>
    <col collapsed="false" customWidth="true" hidden="false" outlineLevel="0" max="7" min="7" style="1" width="44"/>
    <col collapsed="false" customWidth="true" hidden="false" outlineLevel="0" max="10" min="8" style="1" width="13"/>
  </cols>
  <sheetData>
    <row r="1" customFormat="false" ht="24" hidden="false" customHeight="true" outlineLevel="0" collapsed="false">
      <c r="A1" s="14" t="s">
        <v>379</v>
      </c>
      <c r="B1" s="14"/>
      <c r="C1" s="14"/>
      <c r="D1" s="14"/>
      <c r="E1" s="14"/>
      <c r="F1" s="14"/>
      <c r="G1" s="14"/>
    </row>
    <row r="2" customFormat="false" ht="42" hidden="false" customHeight="true" outlineLevel="0" collapsed="false">
      <c r="A2" s="3" t="s">
        <v>2715</v>
      </c>
      <c r="B2" s="3"/>
      <c r="C2" s="3"/>
      <c r="D2" s="3"/>
      <c r="E2" s="3"/>
      <c r="F2" s="3"/>
      <c r="G2" s="3"/>
    </row>
    <row r="3" customFormat="false" ht="13.5" hidden="false" customHeight="true" outlineLevel="0" collapsed="false"/>
    <row r="4" customFormat="false" ht="16.5" hidden="false" customHeight="true" outlineLevel="0" collapsed="false">
      <c r="A4" s="15" t="s">
        <v>2716</v>
      </c>
      <c r="B4" s="15"/>
      <c r="C4" s="15"/>
      <c r="D4" s="15"/>
      <c r="E4" s="15"/>
      <c r="F4" s="15"/>
      <c r="G4" s="164" t="s">
        <v>2717</v>
      </c>
    </row>
    <row r="5" customFormat="false" ht="33.75" hidden="false" customHeight="true" outlineLevel="0" collapsed="false">
      <c r="A5" s="7" t="s">
        <v>723</v>
      </c>
      <c r="B5" s="7" t="s">
        <v>2718</v>
      </c>
      <c r="C5" s="7" t="s">
        <v>2719</v>
      </c>
      <c r="D5" s="7" t="s">
        <v>2720</v>
      </c>
      <c r="E5" s="7" t="s">
        <v>2721</v>
      </c>
      <c r="F5" s="7" t="s">
        <v>2722</v>
      </c>
      <c r="G5" s="7" t="s">
        <v>723</v>
      </c>
      <c r="H5" s="7" t="s">
        <v>2661</v>
      </c>
      <c r="I5" s="7" t="s">
        <v>2723</v>
      </c>
      <c r="J5" s="7" t="s">
        <v>2724</v>
      </c>
    </row>
    <row r="6" customFormat="false" ht="93" hidden="false" customHeight="true" outlineLevel="0" collapsed="false">
      <c r="A6" s="124" t="s">
        <v>844</v>
      </c>
      <c r="B6" s="98" t="n">
        <v>2332855.4</v>
      </c>
      <c r="C6" s="109"/>
      <c r="D6" s="100" t="n">
        <v>506889033.42</v>
      </c>
      <c r="E6" s="98" t="n">
        <v>14289866.3</v>
      </c>
      <c r="F6" s="99" t="n">
        <f aca="false">B6/E6</f>
        <v>0.163252430150449</v>
      </c>
      <c r="G6" s="9" t="s">
        <v>844</v>
      </c>
      <c r="H6" s="161" t="n">
        <f aca="false">B6/B$6*100</f>
        <v>100</v>
      </c>
      <c r="I6" s="165" t="n">
        <f aca="false">Medicare_IFT_Series!B14/Medicare_IFT_Series!B$14*100</f>
        <v>100</v>
      </c>
      <c r="J6" s="165" t="n">
        <f aca="false">Air_Ambulance_IFT!B15/Air_Ambulance_IFT!B$15*100</f>
        <v>100</v>
      </c>
    </row>
    <row r="7" customFormat="false" ht="93" hidden="false" customHeight="true" outlineLevel="0" collapsed="false">
      <c r="A7" s="124" t="s">
        <v>1862</v>
      </c>
      <c r="B7" s="98" t="n">
        <v>2248785.1</v>
      </c>
      <c r="C7" s="99" t="n">
        <f aca="false">B7/B6-1</f>
        <v>-0.0360375100831367</v>
      </c>
      <c r="D7" s="100" t="n">
        <v>502397098.87</v>
      </c>
      <c r="E7" s="98" t="n">
        <v>12627114.2</v>
      </c>
      <c r="F7" s="99" t="n">
        <f aca="false">B7/E7</f>
        <v>0.178091768584781</v>
      </c>
      <c r="G7" s="9" t="s">
        <v>1862</v>
      </c>
      <c r="H7" s="161" t="n">
        <f aca="false">B7/B$6*100</f>
        <v>96.3962489916863</v>
      </c>
      <c r="I7" s="165" t="n">
        <f aca="false">Medicare_IFT_Series!B15/Medicare_IFT_Series!B$14*100</f>
        <v>86.3437498049642</v>
      </c>
      <c r="J7" s="165" t="n">
        <f aca="false">Air_Ambulance_IFT!B16/Air_Ambulance_IFT!B$15*100</f>
        <v>92.9557069846678</v>
      </c>
    </row>
    <row r="8" customFormat="false" ht="93" hidden="false" customHeight="true" outlineLevel="0" collapsed="false">
      <c r="A8" s="124" t="s">
        <v>1163</v>
      </c>
      <c r="B8" s="98" t="n">
        <v>1811190.3</v>
      </c>
      <c r="C8" s="99" t="n">
        <f aca="false">B8/B7-1</f>
        <v>-0.194591648619515</v>
      </c>
      <c r="D8" s="100" t="n">
        <v>396813193.26</v>
      </c>
      <c r="E8" s="98" t="n">
        <v>12099100.5</v>
      </c>
      <c r="F8" s="99" t="n">
        <f aca="false">B8/E8</f>
        <v>0.149696277008361</v>
      </c>
      <c r="G8" s="9" t="s">
        <v>1163</v>
      </c>
      <c r="H8" s="161" t="n">
        <f aca="false">B8/B$6*100</f>
        <v>77.6383439796569</v>
      </c>
      <c r="I8" s="165" t="n">
        <f aca="false">Medicare_IFT_Series!B16/Medicare_IFT_Series!B$14*100</f>
        <v>79.112045499733</v>
      </c>
      <c r="J8" s="165" t="n">
        <f aca="false">Air_Ambulance_IFT!B17/Air_Ambulance_IFT!B$15*100</f>
        <v>105.573111868257</v>
      </c>
    </row>
    <row r="9" customFormat="false" ht="93" hidden="false" customHeight="true" outlineLevel="0" collapsed="false">
      <c r="A9" s="124" t="s">
        <v>733</v>
      </c>
      <c r="B9" s="98" t="n">
        <v>1191980.7</v>
      </c>
      <c r="C9" s="99" t="n">
        <f aca="false">B9/B8-1</f>
        <v>-0.341879922833067</v>
      </c>
      <c r="D9" s="100" t="n">
        <v>253925457.94</v>
      </c>
      <c r="E9" s="98" t="n">
        <v>11259050.1</v>
      </c>
      <c r="F9" s="99" t="n">
        <f aca="false">B9/E9</f>
        <v>0.105868673592633</v>
      </c>
      <c r="G9" s="9" t="s">
        <v>733</v>
      </c>
      <c r="H9" s="161" t="n">
        <f aca="false">B9/B$6*100</f>
        <v>51.0953529310046</v>
      </c>
      <c r="I9" s="165" t="n">
        <f aca="false">Medicare_IFT_Series!B17/Medicare_IFT_Series!B$14*100</f>
        <v>73.5722265464444</v>
      </c>
      <c r="J9" s="165" t="n">
        <f aca="false">Air_Ambulance_IFT!B18/Air_Ambulance_IFT!B$15*100</f>
        <v>96.488358886996</v>
      </c>
    </row>
    <row r="10" customFormat="false" ht="93" hidden="false" customHeight="true" outlineLevel="0" collapsed="false">
      <c r="A10" s="124" t="s">
        <v>741</v>
      </c>
      <c r="B10" s="98" t="n">
        <v>909035.7</v>
      </c>
      <c r="C10" s="99" t="n">
        <f aca="false">B10/B9-1</f>
        <v>-0.237373809827626</v>
      </c>
      <c r="D10" s="100" t="n">
        <v>224704952</v>
      </c>
      <c r="E10" s="98" t="n">
        <v>10671086.1</v>
      </c>
      <c r="F10" s="99" t="n">
        <f aca="false">B10/E10</f>
        <v>0.0851868021194206</v>
      </c>
      <c r="G10" s="9" t="s">
        <v>741</v>
      </c>
      <c r="H10" s="161" t="n">
        <f aca="false">B10/B$6*100</f>
        <v>38.9666543412849</v>
      </c>
      <c r="I10" s="165" t="n">
        <f aca="false">Medicare_IFT_Series!B18/Medicare_IFT_Series!B$14*100</f>
        <v>74.6638920317514</v>
      </c>
      <c r="J10" s="165" t="n">
        <f aca="false">Air_Ambulance_IFT!B19/Air_Ambulance_IFT!B$15*100</f>
        <v>96.473594548552</v>
      </c>
    </row>
    <row r="11" customFormat="false" ht="93" hidden="false" customHeight="true" outlineLevel="0" collapsed="false">
      <c r="A11" s="124" t="s">
        <v>806</v>
      </c>
      <c r="B11" s="98" t="n">
        <v>857750</v>
      </c>
      <c r="C11" s="99" t="n">
        <f aca="false">B11/B10-1</f>
        <v>-0.056417696246693</v>
      </c>
      <c r="D11" s="100" t="n">
        <v>215105038.91</v>
      </c>
      <c r="E11" s="98" t="n">
        <v>10637766.2</v>
      </c>
      <c r="F11" s="99" t="n">
        <f aca="false">B11/E11</f>
        <v>0.0806325297880677</v>
      </c>
      <c r="G11" s="9" t="s">
        <v>806</v>
      </c>
      <c r="H11" s="161" t="n">
        <f aca="false">B11/B$6*100</f>
        <v>36.7682454729084</v>
      </c>
      <c r="I11" s="165" t="n">
        <f aca="false">Medicare_IFT_Series!B19/Medicare_IFT_Series!B$14*100</f>
        <v>77.7248172013099</v>
      </c>
      <c r="J11" s="165" t="n">
        <f aca="false">Air_Ambulance_IFT!B20/Air_Ambulance_IFT!B$15*100</f>
        <v>94.5597671777399</v>
      </c>
    </row>
    <row r="12" customFormat="false" ht="9.75" hidden="false" customHeight="true" outlineLevel="0" collapsed="false"/>
    <row r="13" customFormat="false" ht="24" hidden="false" customHeight="true" outlineLevel="0" collapsed="false">
      <c r="A13" s="7" t="s">
        <v>1902</v>
      </c>
      <c r="B13" s="7" t="s">
        <v>581</v>
      </c>
      <c r="C13" s="7" t="s">
        <v>1947</v>
      </c>
    </row>
    <row r="14" customFormat="false" ht="30" hidden="false" customHeight="true" outlineLevel="0" collapsed="false">
      <c r="A14" s="9" t="s">
        <v>1195</v>
      </c>
      <c r="B14" s="99" t="n">
        <f aca="false">B11/B6-1</f>
        <v>-0.632317545270916</v>
      </c>
      <c r="C14" s="9" t="s">
        <v>2725</v>
      </c>
    </row>
    <row r="15" customFormat="false" ht="156" hidden="false" customHeight="true" outlineLevel="0" collapsed="false">
      <c r="A15" s="9" t="s">
        <v>2726</v>
      </c>
      <c r="B15" s="99" t="n">
        <f aca="false">E11/E6-1</f>
        <v>-0.255572727087027</v>
      </c>
      <c r="C15" s="9" t="s">
        <v>2727</v>
      </c>
    </row>
    <row r="16" customFormat="false" ht="130.5" hidden="false" customHeight="true" outlineLevel="0" collapsed="false">
      <c r="A16" s="9" t="s">
        <v>2728</v>
      </c>
      <c r="B16" s="99" t="n">
        <f aca="false">B9/B8-1</f>
        <v>-0.341879922833067</v>
      </c>
      <c r="C16" s="9" t="s">
        <v>2729</v>
      </c>
    </row>
    <row r="17" customFormat="false" ht="9.75" hidden="false" customHeight="true" outlineLevel="0" collapsed="false"/>
    <row r="18" customFormat="false" ht="19.5" hidden="false" customHeight="true" outlineLevel="0" collapsed="false">
      <c r="A18" s="15" t="s">
        <v>2730</v>
      </c>
      <c r="B18" s="15"/>
      <c r="C18" s="15"/>
      <c r="D18" s="15"/>
      <c r="E18" s="15"/>
      <c r="F18" s="15"/>
      <c r="G18" s="15"/>
    </row>
    <row r="19" customFormat="false" ht="30" hidden="false" customHeight="true" outlineLevel="0" collapsed="false">
      <c r="A19" s="7" t="s">
        <v>2557</v>
      </c>
      <c r="B19" s="7" t="s">
        <v>2594</v>
      </c>
      <c r="C19" s="7" t="s">
        <v>2558</v>
      </c>
      <c r="D19" s="7" t="s">
        <v>2561</v>
      </c>
    </row>
    <row r="20" customFormat="false" ht="16.5" hidden="false" customHeight="true" outlineLevel="0" collapsed="false">
      <c r="A20" s="124" t="s">
        <v>2402</v>
      </c>
      <c r="B20" s="9" t="s">
        <v>2568</v>
      </c>
      <c r="C20" s="98" t="n">
        <v>214296</v>
      </c>
      <c r="D20" s="100" t="n">
        <v>51901463.26</v>
      </c>
    </row>
    <row r="21" customFormat="false" ht="16.5" hidden="false" customHeight="true" outlineLevel="0" collapsed="false">
      <c r="A21" s="124" t="s">
        <v>2404</v>
      </c>
      <c r="B21" s="9" t="s">
        <v>2569</v>
      </c>
      <c r="C21" s="98" t="n">
        <v>210479</v>
      </c>
      <c r="D21" s="100" t="n">
        <v>51258650.22</v>
      </c>
    </row>
    <row r="22" customFormat="false" ht="16.5" hidden="false" customHeight="true" outlineLevel="0" collapsed="false">
      <c r="A22" s="124" t="s">
        <v>2406</v>
      </c>
      <c r="B22" s="9" t="s">
        <v>2570</v>
      </c>
      <c r="C22" s="98" t="n">
        <v>181502.6</v>
      </c>
      <c r="D22" s="100" t="n">
        <v>42888942.93</v>
      </c>
    </row>
    <row r="23" customFormat="false" ht="16.5" hidden="false" customHeight="true" outlineLevel="0" collapsed="false">
      <c r="A23" s="124" t="s">
        <v>2408</v>
      </c>
      <c r="B23" s="9" t="s">
        <v>2571</v>
      </c>
      <c r="C23" s="98" t="n">
        <v>177067.1</v>
      </c>
      <c r="D23" s="100" t="n">
        <v>42301874.08</v>
      </c>
    </row>
    <row r="24" customFormat="false" ht="16.5" hidden="false" customHeight="true" outlineLevel="0" collapsed="false">
      <c r="A24" s="124" t="s">
        <v>2574</v>
      </c>
      <c r="B24" s="9" t="s">
        <v>2575</v>
      </c>
      <c r="C24" s="98" t="n">
        <v>35869.9</v>
      </c>
      <c r="D24" s="100" t="n">
        <v>18226742.77</v>
      </c>
    </row>
    <row r="25" customFormat="false" ht="16.5" hidden="false" customHeight="true" outlineLevel="0" collapsed="false">
      <c r="A25" s="124" t="s">
        <v>2731</v>
      </c>
      <c r="B25" s="9" t="s">
        <v>2732</v>
      </c>
      <c r="C25" s="98" t="n">
        <v>7766</v>
      </c>
      <c r="D25" s="100" t="n">
        <v>1617968.38</v>
      </c>
    </row>
    <row r="26" customFormat="false" ht="16.5" hidden="false" customHeight="true" outlineLevel="0" collapsed="false">
      <c r="A26" s="124" t="s">
        <v>2733</v>
      </c>
      <c r="B26" s="9" t="s">
        <v>2734</v>
      </c>
      <c r="C26" s="98" t="n">
        <v>7636</v>
      </c>
      <c r="D26" s="100" t="n">
        <v>1578786.46</v>
      </c>
    </row>
    <row r="27" customFormat="false" ht="16.5" hidden="false" customHeight="true" outlineLevel="0" collapsed="false">
      <c r="A27" s="124" t="s">
        <v>2735</v>
      </c>
      <c r="B27" s="9" t="s">
        <v>2736</v>
      </c>
      <c r="C27" s="98" t="n">
        <v>6652</v>
      </c>
      <c r="D27" s="100" t="n">
        <v>1258329.88</v>
      </c>
    </row>
    <row r="28" customFormat="false" ht="9.75" hidden="false" customHeight="true" outlineLevel="0" collapsed="false"/>
    <row r="29" customFormat="false" ht="19.5" hidden="false" customHeight="true" outlineLevel="0" collapsed="false">
      <c r="A29" s="15" t="s">
        <v>2737</v>
      </c>
      <c r="B29" s="15"/>
      <c r="C29" s="15"/>
      <c r="D29" s="15"/>
      <c r="E29" s="15"/>
      <c r="F29" s="15"/>
      <c r="G29" s="15"/>
    </row>
    <row r="30" customFormat="false" ht="54.75" hidden="false" customHeight="true" outlineLevel="0" collapsed="false">
      <c r="A30" s="20" t="s">
        <v>2738</v>
      </c>
      <c r="B30" s="9" t="s">
        <v>2739</v>
      </c>
      <c r="C30" s="109"/>
      <c r="D30" s="109"/>
      <c r="E30" s="9" t="s">
        <v>2740</v>
      </c>
    </row>
    <row r="31" customFormat="false" ht="67.5" hidden="false" customHeight="true" outlineLevel="0" collapsed="false">
      <c r="A31" s="20" t="s">
        <v>2741</v>
      </c>
      <c r="B31" s="9" t="s">
        <v>2742</v>
      </c>
      <c r="C31" s="109"/>
      <c r="D31" s="109"/>
      <c r="E31" s="9" t="s">
        <v>2743</v>
      </c>
    </row>
    <row r="32" customFormat="false" ht="105" hidden="false" customHeight="true" outlineLevel="0" collapsed="false">
      <c r="A32" s="8" t="s">
        <v>2744</v>
      </c>
      <c r="B32" s="9" t="s">
        <v>2745</v>
      </c>
      <c r="C32" s="109"/>
      <c r="D32" s="109"/>
      <c r="E32" s="9" t="s">
        <v>2746</v>
      </c>
    </row>
    <row r="33" customFormat="false" ht="67.5" hidden="false" customHeight="true" outlineLevel="0" collapsed="false">
      <c r="A33" s="8" t="s">
        <v>2747</v>
      </c>
      <c r="B33" s="9" t="s">
        <v>2748</v>
      </c>
      <c r="C33" s="109"/>
      <c r="D33" s="109"/>
      <c r="E33" s="9" t="s">
        <v>2749</v>
      </c>
    </row>
    <row r="34" customFormat="false" ht="67.5" hidden="false" customHeight="true" outlineLevel="0" collapsed="false">
      <c r="A34" s="20" t="s">
        <v>2750</v>
      </c>
      <c r="B34" s="9" t="s">
        <v>2751</v>
      </c>
      <c r="C34" s="109"/>
      <c r="D34" s="109"/>
      <c r="E34" s="9" t="s">
        <v>2752</v>
      </c>
    </row>
    <row r="35" customFormat="false" ht="54.75" hidden="false" customHeight="true" outlineLevel="0" collapsed="false">
      <c r="A35" s="8" t="s">
        <v>2753</v>
      </c>
      <c r="B35" s="9" t="s">
        <v>2754</v>
      </c>
      <c r="C35" s="109"/>
      <c r="D35" s="109"/>
      <c r="E35" s="9" t="s">
        <v>2755</v>
      </c>
    </row>
    <row r="36" customFormat="false" ht="9.75" hidden="false" customHeight="true" outlineLevel="0" collapsed="false"/>
    <row r="37" customFormat="false" ht="42" hidden="false" customHeight="true" outlineLevel="0" collapsed="false">
      <c r="A37" s="5" t="s">
        <v>2756</v>
      </c>
      <c r="B37" s="5"/>
      <c r="C37" s="5"/>
      <c r="D37" s="5"/>
      <c r="E37" s="5"/>
      <c r="F37" s="5"/>
      <c r="G37" s="5"/>
    </row>
    <row r="39" customFormat="false" ht="18" hidden="false" customHeight="true" outlineLevel="0" collapsed="false">
      <c r="A39" s="127" t="s">
        <v>2111</v>
      </c>
      <c r="B39" s="127"/>
      <c r="C39" s="127"/>
      <c r="D39" s="127"/>
      <c r="E39" s="127"/>
      <c r="F39" s="127"/>
      <c r="G39" s="127"/>
      <c r="H39" s="127"/>
    </row>
    <row r="40" customFormat="false" ht="15.75" hidden="false" customHeight="true" outlineLevel="0" collapsed="false">
      <c r="A40" s="9" t="s">
        <v>2757</v>
      </c>
      <c r="B40" s="128" t="n">
        <f aca="false">(B11/B6)^(1/5)-1</f>
        <v>-0.181356945985895</v>
      </c>
    </row>
    <row r="41" customFormat="false" ht="15.75" hidden="false" customHeight="true" outlineLevel="0" collapsed="false">
      <c r="A41" s="9" t="s">
        <v>2758</v>
      </c>
      <c r="B41" s="154" t="n">
        <f aca="false">B9/B8-1</f>
        <v>-0.341879922833067</v>
      </c>
    </row>
    <row r="42" customFormat="false" ht="15.75" hidden="false" customHeight="true" outlineLevel="0" collapsed="false">
      <c r="A42" s="9" t="s">
        <v>2759</v>
      </c>
      <c r="B42" s="154" t="n">
        <f aca="false">B11/B6</f>
        <v>0.367682454729084</v>
      </c>
    </row>
    <row r="43" customFormat="false" ht="30" hidden="false" customHeight="true" outlineLevel="0" collapsed="false">
      <c r="A43" s="3" t="s">
        <v>2760</v>
      </c>
      <c r="B43" s="3"/>
      <c r="C43" s="3"/>
      <c r="D43" s="3"/>
      <c r="E43" s="3"/>
      <c r="F43" s="3"/>
      <c r="G43" s="3"/>
      <c r="H43" s="3"/>
    </row>
  </sheetData>
  <mergeCells count="8">
    <mergeCell ref="A1:G1"/>
    <mergeCell ref="A2:G2"/>
    <mergeCell ref="A4:F4"/>
    <mergeCell ref="A18:G18"/>
    <mergeCell ref="A29:G29"/>
    <mergeCell ref="A37:G37"/>
    <mergeCell ref="A39:H39"/>
    <mergeCell ref="A43:H4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F8B"/>
    <pageSetUpPr fitToPage="true"/>
  </sheetPr>
  <dimension ref="A1:E7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56"/>
    <col collapsed="false" customWidth="true" hidden="false" outlineLevel="0" max="3" min="3" style="1" width="30"/>
    <col collapsed="false" customWidth="true" hidden="false" outlineLevel="0" max="4" min="4" style="1" width="46"/>
    <col collapsed="false" customWidth="true" hidden="false" outlineLevel="0" max="5" min="5" style="1" width="12"/>
  </cols>
  <sheetData>
    <row r="1" customFormat="false" ht="24" hidden="false" customHeight="true" outlineLevel="0" collapsed="false">
      <c r="A1" s="14" t="s">
        <v>2761</v>
      </c>
      <c r="B1" s="14"/>
      <c r="C1" s="14"/>
      <c r="D1" s="14"/>
      <c r="E1" s="14"/>
    </row>
    <row r="2" customFormat="false" ht="30" hidden="false" customHeight="true" outlineLevel="0" collapsed="false">
      <c r="A2" s="3" t="s">
        <v>2762</v>
      </c>
      <c r="B2" s="3"/>
      <c r="C2" s="3"/>
      <c r="D2" s="3"/>
      <c r="E2" s="3"/>
    </row>
    <row r="3" customFormat="false" ht="13.5" hidden="false" customHeight="true" outlineLevel="0" collapsed="false"/>
    <row r="4" customFormat="false" ht="30" hidden="false" customHeight="true" outlineLevel="0" collapsed="false">
      <c r="A4" s="15" t="s">
        <v>2763</v>
      </c>
      <c r="B4" s="15"/>
      <c r="C4" s="15"/>
      <c r="D4" s="15"/>
      <c r="E4" s="15"/>
    </row>
    <row r="5" customFormat="false" ht="24" hidden="false" customHeight="true" outlineLevel="0" collapsed="false">
      <c r="A5" s="16" t="s">
        <v>2414</v>
      </c>
      <c r="B5" s="16" t="s">
        <v>2764</v>
      </c>
      <c r="C5" s="16" t="s">
        <v>901</v>
      </c>
      <c r="D5" s="16" t="s">
        <v>2765</v>
      </c>
      <c r="E5" s="16" t="s">
        <v>725</v>
      </c>
    </row>
    <row r="6" customFormat="false" ht="15" hidden="false" customHeight="true" outlineLevel="0" collapsed="false">
      <c r="A6" s="124" t="s">
        <v>2417</v>
      </c>
      <c r="B6" s="97" t="s">
        <v>2418</v>
      </c>
      <c r="C6" s="103" t="n">
        <v>1</v>
      </c>
      <c r="D6" s="166" t="n">
        <f aca="false">C6/C$6</f>
        <v>1</v>
      </c>
      <c r="E6" s="17" t="s">
        <v>735</v>
      </c>
    </row>
    <row r="7" customFormat="false" ht="15" hidden="false" customHeight="true" outlineLevel="0" collapsed="false">
      <c r="A7" s="124" t="s">
        <v>2423</v>
      </c>
      <c r="B7" s="97" t="s">
        <v>2424</v>
      </c>
      <c r="C7" s="103" t="n">
        <v>1.6</v>
      </c>
      <c r="D7" s="166" t="n">
        <f aca="false">C7/C$6</f>
        <v>1.6</v>
      </c>
      <c r="E7" s="17" t="s">
        <v>735</v>
      </c>
    </row>
    <row r="8" customFormat="false" ht="16.5" hidden="false" customHeight="true" outlineLevel="0" collapsed="false">
      <c r="A8" s="124" t="s">
        <v>2419</v>
      </c>
      <c r="B8" s="97" t="s">
        <v>2420</v>
      </c>
      <c r="C8" s="103" t="n">
        <v>1.2</v>
      </c>
      <c r="D8" s="166" t="n">
        <f aca="false">C8/C$6</f>
        <v>1.2</v>
      </c>
      <c r="E8" s="17" t="s">
        <v>735</v>
      </c>
    </row>
    <row r="9" customFormat="false" ht="15" hidden="false" customHeight="true" outlineLevel="0" collapsed="false">
      <c r="A9" s="124" t="s">
        <v>2421</v>
      </c>
      <c r="B9" s="97" t="s">
        <v>2422</v>
      </c>
      <c r="C9" s="103" t="n">
        <v>1.9</v>
      </c>
      <c r="D9" s="166" t="n">
        <f aca="false">C9/C$6</f>
        <v>1.9</v>
      </c>
      <c r="E9" s="17" t="s">
        <v>735</v>
      </c>
    </row>
    <row r="10" customFormat="false" ht="16.5" hidden="false" customHeight="true" outlineLevel="0" collapsed="false">
      <c r="A10" s="124" t="s">
        <v>2766</v>
      </c>
      <c r="B10" s="9" t="s">
        <v>2767</v>
      </c>
      <c r="C10" s="103" t="n">
        <v>1.75</v>
      </c>
      <c r="D10" s="166" t="n">
        <f aca="false">C10/C$6</f>
        <v>1.75</v>
      </c>
      <c r="E10" s="17" t="s">
        <v>735</v>
      </c>
    </row>
    <row r="11" customFormat="false" ht="16.5" hidden="false" customHeight="true" outlineLevel="0" collapsed="false">
      <c r="A11" s="124" t="s">
        <v>2426</v>
      </c>
      <c r="B11" s="9" t="s">
        <v>2768</v>
      </c>
      <c r="C11" s="103" t="n">
        <v>2.75</v>
      </c>
      <c r="D11" s="166" t="n">
        <f aca="false">C11/C$6</f>
        <v>2.75</v>
      </c>
      <c r="E11" s="17" t="s">
        <v>735</v>
      </c>
    </row>
    <row r="12" customFormat="false" ht="16.5" hidden="false" customHeight="true" outlineLevel="0" collapsed="false">
      <c r="A12" s="124" t="s">
        <v>2425</v>
      </c>
      <c r="B12" s="9" t="s">
        <v>2769</v>
      </c>
      <c r="C12" s="103" t="n">
        <v>3.25</v>
      </c>
      <c r="D12" s="166" t="n">
        <f aca="false">C12/C$6</f>
        <v>3.25</v>
      </c>
      <c r="E12" s="17" t="s">
        <v>735</v>
      </c>
    </row>
    <row r="13" customFormat="false" ht="9.75" hidden="false" customHeight="true" outlineLevel="0" collapsed="false"/>
    <row r="14" customFormat="false" ht="16.5" hidden="false" customHeight="true" outlineLevel="0" collapsed="false">
      <c r="A14" s="15" t="s">
        <v>2770</v>
      </c>
      <c r="B14" s="15"/>
      <c r="C14" s="15"/>
      <c r="D14" s="15"/>
      <c r="E14" s="15"/>
    </row>
    <row r="15" customFormat="false" ht="24" hidden="false" customHeight="true" outlineLevel="0" collapsed="false">
      <c r="A15" s="16" t="s">
        <v>2771</v>
      </c>
      <c r="B15" s="16" t="s">
        <v>2772</v>
      </c>
      <c r="C15" s="16" t="s">
        <v>725</v>
      </c>
      <c r="D15" s="16" t="s">
        <v>2085</v>
      </c>
    </row>
    <row r="16" customFormat="false" ht="15" hidden="false" customHeight="true" outlineLevel="0" collapsed="false">
      <c r="A16" s="124" t="s">
        <v>1862</v>
      </c>
      <c r="B16" s="101" t="n">
        <v>0.009</v>
      </c>
      <c r="C16" s="17" t="s">
        <v>735</v>
      </c>
      <c r="D16" s="106"/>
    </row>
    <row r="17" customFormat="false" ht="15" hidden="false" customHeight="true" outlineLevel="0" collapsed="false">
      <c r="A17" s="124" t="s">
        <v>1163</v>
      </c>
      <c r="B17" s="101" t="n">
        <v>0.002</v>
      </c>
      <c r="C17" s="17" t="s">
        <v>735</v>
      </c>
      <c r="D17" s="106"/>
    </row>
    <row r="18" customFormat="false" ht="15" hidden="false" customHeight="true" outlineLevel="0" collapsed="false">
      <c r="A18" s="124" t="s">
        <v>733</v>
      </c>
      <c r="B18" s="101" t="n">
        <v>0.051</v>
      </c>
      <c r="C18" s="17" t="s">
        <v>735</v>
      </c>
      <c r="D18" s="106"/>
    </row>
    <row r="19" customFormat="false" ht="30" hidden="false" customHeight="true" outlineLevel="0" collapsed="false">
      <c r="A19" s="124" t="s">
        <v>741</v>
      </c>
      <c r="B19" s="101" t="n">
        <v>0.087</v>
      </c>
      <c r="C19" s="17" t="s">
        <v>735</v>
      </c>
      <c r="D19" s="18" t="s">
        <v>2773</v>
      </c>
    </row>
    <row r="20" customFormat="false" ht="42" hidden="false" customHeight="true" outlineLevel="0" collapsed="false">
      <c r="A20" s="124" t="s">
        <v>806</v>
      </c>
      <c r="B20" s="101" t="n">
        <v>0.026</v>
      </c>
      <c r="C20" s="17" t="s">
        <v>735</v>
      </c>
      <c r="D20" s="167" t="s">
        <v>2774</v>
      </c>
    </row>
    <row r="21" customFormat="false" ht="15" hidden="false" customHeight="true" outlineLevel="0" collapsed="false">
      <c r="A21" s="124" t="s">
        <v>1122</v>
      </c>
      <c r="B21" s="101" t="n">
        <v>0.024</v>
      </c>
      <c r="C21" s="17" t="s">
        <v>735</v>
      </c>
      <c r="D21" s="106"/>
    </row>
    <row r="22" customFormat="false" ht="30" hidden="false" customHeight="true" outlineLevel="0" collapsed="false">
      <c r="A22" s="124" t="s">
        <v>906</v>
      </c>
      <c r="B22" s="101" t="n">
        <v>0.02</v>
      </c>
      <c r="C22" s="17" t="s">
        <v>735</v>
      </c>
      <c r="D22" s="18" t="s">
        <v>2775</v>
      </c>
    </row>
    <row r="23" customFormat="false" ht="16.5" hidden="false" customHeight="true" outlineLevel="0" collapsed="false">
      <c r="A23" s="20" t="s">
        <v>2776</v>
      </c>
      <c r="B23" s="121" t="n">
        <f aca="false">B22</f>
        <v>0.02</v>
      </c>
      <c r="C23" s="17" t="s">
        <v>751</v>
      </c>
    </row>
    <row r="24" customFormat="false" ht="16.5" hidden="false" customHeight="true" outlineLevel="0" collapsed="false">
      <c r="A24" s="8" t="s">
        <v>2777</v>
      </c>
      <c r="B24" s="99" t="n">
        <f aca="false">AVERAGE(B20:B22)</f>
        <v>0.0233333333333333</v>
      </c>
      <c r="C24" s="17" t="s">
        <v>751</v>
      </c>
    </row>
    <row r="25" customFormat="false" ht="30" hidden="false" customHeight="true" outlineLevel="0" collapsed="false">
      <c r="A25" s="8" t="s">
        <v>2778</v>
      </c>
      <c r="B25" s="99" t="n">
        <f aca="false">AVERAGE(B16:B22)</f>
        <v>0.0312857142857143</v>
      </c>
      <c r="C25" s="17" t="s">
        <v>751</v>
      </c>
    </row>
    <row r="26" customFormat="false" ht="16.5" hidden="false" customHeight="true" outlineLevel="0" collapsed="false">
      <c r="A26" s="8" t="s">
        <v>2779</v>
      </c>
      <c r="B26" s="99" t="n">
        <f aca="false">STDEV(B16:B22)</f>
        <v>0.0290270809516119</v>
      </c>
      <c r="C26" s="17" t="s">
        <v>751</v>
      </c>
    </row>
    <row r="27" customFormat="false" ht="9.75" hidden="false" customHeight="true" outlineLevel="0" collapsed="false"/>
    <row r="28" customFormat="false" ht="30" hidden="false" customHeight="true" outlineLevel="0" collapsed="false">
      <c r="A28" s="19" t="s">
        <v>2780</v>
      </c>
      <c r="B28" s="19"/>
      <c r="C28" s="19"/>
      <c r="D28" s="19"/>
      <c r="E28" s="19"/>
    </row>
    <row r="29" customFormat="false" ht="9.75" hidden="false" customHeight="true" outlineLevel="0" collapsed="false"/>
    <row r="30" customFormat="false" ht="16.5" hidden="false" customHeight="true" outlineLevel="0" collapsed="false">
      <c r="A30" s="15" t="s">
        <v>2781</v>
      </c>
      <c r="B30" s="15"/>
      <c r="C30" s="15"/>
      <c r="D30" s="15"/>
      <c r="E30" s="15"/>
    </row>
    <row r="31" customFormat="false" ht="24" hidden="false" customHeight="true" outlineLevel="0" collapsed="false">
      <c r="A31" s="16" t="s">
        <v>580</v>
      </c>
      <c r="B31" s="16" t="s">
        <v>2782</v>
      </c>
      <c r="C31" s="16" t="s">
        <v>725</v>
      </c>
      <c r="D31" s="16" t="s">
        <v>2085</v>
      </c>
    </row>
    <row r="32" customFormat="false" ht="54.75" hidden="false" customHeight="true" outlineLevel="0" collapsed="false">
      <c r="A32" s="18" t="s">
        <v>2783</v>
      </c>
      <c r="B32" s="168" t="n">
        <v>272.44</v>
      </c>
      <c r="C32" s="17" t="s">
        <v>735</v>
      </c>
      <c r="D32" s="18" t="s">
        <v>2784</v>
      </c>
    </row>
    <row r="33" customFormat="false" ht="42" hidden="false" customHeight="true" outlineLevel="0" collapsed="false">
      <c r="A33" s="18" t="s">
        <v>2785</v>
      </c>
      <c r="B33" s="168" t="n">
        <v>8.76</v>
      </c>
      <c r="C33" s="17" t="s">
        <v>735</v>
      </c>
      <c r="D33" s="18" t="s">
        <v>2786</v>
      </c>
    </row>
    <row r="34" customFormat="false" ht="30" hidden="false" customHeight="true" outlineLevel="0" collapsed="false">
      <c r="A34" s="18" t="s">
        <v>2787</v>
      </c>
      <c r="B34" s="168" t="n">
        <v>3697.17</v>
      </c>
      <c r="C34" s="17" t="s">
        <v>735</v>
      </c>
      <c r="D34" s="18" t="s">
        <v>2788</v>
      </c>
    </row>
    <row r="35" customFormat="false" ht="30" hidden="false" customHeight="true" outlineLevel="0" collapsed="false">
      <c r="A35" s="18" t="s">
        <v>2789</v>
      </c>
      <c r="B35" s="168" t="n">
        <v>4298.52</v>
      </c>
      <c r="C35" s="17" t="s">
        <v>735</v>
      </c>
      <c r="D35" s="18" t="s">
        <v>2790</v>
      </c>
    </row>
    <row r="36" customFormat="false" ht="54.75" hidden="false" customHeight="true" outlineLevel="0" collapsed="false">
      <c r="A36" s="18" t="s">
        <v>2791</v>
      </c>
      <c r="B36" s="101" t="n">
        <v>0.7</v>
      </c>
      <c r="C36" s="17" t="s">
        <v>735</v>
      </c>
      <c r="D36" s="167" t="s">
        <v>2792</v>
      </c>
    </row>
    <row r="37" customFormat="false" ht="9.75" hidden="false" customHeight="true" outlineLevel="0" collapsed="false"/>
    <row r="38" customFormat="false" ht="19.5" hidden="false" customHeight="true" outlineLevel="0" collapsed="false">
      <c r="A38" s="21" t="s">
        <v>2793</v>
      </c>
    </row>
    <row r="39" customFormat="false" ht="24" hidden="false" customHeight="true" outlineLevel="0" collapsed="false">
      <c r="A39" s="16" t="s">
        <v>580</v>
      </c>
      <c r="B39" s="16" t="s">
        <v>2794</v>
      </c>
      <c r="C39" s="16" t="s">
        <v>2011</v>
      </c>
      <c r="D39" s="16" t="s">
        <v>725</v>
      </c>
    </row>
    <row r="40" customFormat="false" ht="93" hidden="false" customHeight="true" outlineLevel="0" collapsed="false">
      <c r="A40" s="97" t="s">
        <v>2795</v>
      </c>
      <c r="B40" s="18" t="s">
        <v>2796</v>
      </c>
      <c r="C40" s="18" t="s">
        <v>1515</v>
      </c>
      <c r="D40" s="17" t="s">
        <v>735</v>
      </c>
    </row>
    <row r="41" customFormat="false" ht="42" hidden="false" customHeight="true" outlineLevel="0" collapsed="false">
      <c r="A41" s="9" t="s">
        <v>2797</v>
      </c>
      <c r="B41" s="18" t="s">
        <v>2798</v>
      </c>
      <c r="C41" s="18" t="s">
        <v>968</v>
      </c>
      <c r="D41" s="17" t="s">
        <v>735</v>
      </c>
    </row>
    <row r="42" customFormat="false" ht="42" hidden="false" customHeight="true" outlineLevel="0" collapsed="false">
      <c r="A42" s="9" t="s">
        <v>2799</v>
      </c>
      <c r="B42" s="18" t="s">
        <v>2800</v>
      </c>
      <c r="C42" s="18" t="s">
        <v>968</v>
      </c>
      <c r="D42" s="17" t="s">
        <v>735</v>
      </c>
    </row>
    <row r="43" customFormat="false" ht="105" hidden="false" customHeight="true" outlineLevel="0" collapsed="false">
      <c r="A43" s="97" t="s">
        <v>2801</v>
      </c>
      <c r="B43" s="18" t="s">
        <v>2802</v>
      </c>
      <c r="C43" s="18" t="s">
        <v>968</v>
      </c>
      <c r="D43" s="17" t="s">
        <v>735</v>
      </c>
    </row>
    <row r="44" customFormat="false" ht="42" hidden="false" customHeight="true" outlineLevel="0" collapsed="false">
      <c r="A44" s="97" t="s">
        <v>2803</v>
      </c>
      <c r="B44" s="18" t="s">
        <v>2804</v>
      </c>
      <c r="C44" s="18" t="s">
        <v>2805</v>
      </c>
      <c r="D44" s="17" t="s">
        <v>735</v>
      </c>
    </row>
    <row r="45" customFormat="false" ht="42" hidden="false" customHeight="true" outlineLevel="0" collapsed="false">
      <c r="A45" s="97" t="s">
        <v>2806</v>
      </c>
      <c r="B45" s="18" t="s">
        <v>2807</v>
      </c>
      <c r="C45" s="17" t="s">
        <v>2808</v>
      </c>
      <c r="D45" s="17" t="s">
        <v>735</v>
      </c>
    </row>
    <row r="46" customFormat="false" ht="42" hidden="false" customHeight="true" outlineLevel="0" collapsed="false">
      <c r="A46" s="9" t="s">
        <v>2809</v>
      </c>
      <c r="B46" s="18" t="s">
        <v>2810</v>
      </c>
      <c r="C46" s="17" t="s">
        <v>2811</v>
      </c>
      <c r="D46" s="17" t="s">
        <v>735</v>
      </c>
    </row>
    <row r="47" customFormat="false" ht="42" hidden="false" customHeight="true" outlineLevel="0" collapsed="false">
      <c r="A47" s="9" t="s">
        <v>2812</v>
      </c>
      <c r="B47" s="18" t="s">
        <v>2813</v>
      </c>
      <c r="C47" s="17" t="s">
        <v>2814</v>
      </c>
      <c r="D47" s="17" t="s">
        <v>1047</v>
      </c>
    </row>
    <row r="48" customFormat="false" ht="54.75" hidden="false" customHeight="true" outlineLevel="0" collapsed="false">
      <c r="A48" s="9" t="s">
        <v>2815</v>
      </c>
      <c r="B48" s="18" t="s">
        <v>2816</v>
      </c>
      <c r="C48" s="17" t="s">
        <v>2817</v>
      </c>
      <c r="D48" s="17" t="s">
        <v>735</v>
      </c>
    </row>
    <row r="49" customFormat="false" ht="42" hidden="false" customHeight="true" outlineLevel="0" collapsed="false">
      <c r="A49" s="9" t="s">
        <v>2818</v>
      </c>
      <c r="B49" s="18" t="s">
        <v>2819</v>
      </c>
      <c r="C49" s="18" t="s">
        <v>968</v>
      </c>
      <c r="D49" s="17" t="s">
        <v>735</v>
      </c>
    </row>
    <row r="50" customFormat="false" ht="67.5" hidden="false" customHeight="true" outlineLevel="0" collapsed="false">
      <c r="A50" s="9" t="s">
        <v>519</v>
      </c>
      <c r="B50" s="167" t="s">
        <v>2820</v>
      </c>
      <c r="C50" s="18" t="s">
        <v>562</v>
      </c>
      <c r="D50" s="17" t="s">
        <v>735</v>
      </c>
    </row>
    <row r="51" customFormat="false" ht="42" hidden="false" customHeight="true" outlineLevel="0" collapsed="false">
      <c r="A51" s="97" t="s">
        <v>2821</v>
      </c>
      <c r="B51" s="18" t="s">
        <v>2822</v>
      </c>
      <c r="C51" s="18" t="s">
        <v>2823</v>
      </c>
      <c r="D51" s="17" t="s">
        <v>735</v>
      </c>
    </row>
    <row r="52" customFormat="false" ht="9.75" hidden="false" customHeight="true" outlineLevel="0" collapsed="false"/>
    <row r="53" customFormat="false" ht="30" hidden="false" customHeight="true" outlineLevel="0" collapsed="false">
      <c r="A53" s="19" t="s">
        <v>2824</v>
      </c>
      <c r="B53" s="19"/>
      <c r="C53" s="19"/>
      <c r="D53" s="19"/>
      <c r="E53" s="19"/>
    </row>
    <row r="54" customFormat="false" ht="9.75" hidden="false" customHeight="true" outlineLevel="0" collapsed="false"/>
    <row r="55" customFormat="false" ht="30" hidden="false" customHeight="true" outlineLevel="0" collapsed="false">
      <c r="A55" s="21" t="s">
        <v>2825</v>
      </c>
    </row>
    <row r="56" customFormat="false" ht="79.5" hidden="false" customHeight="true" outlineLevel="0" collapsed="false">
      <c r="A56" s="20" t="s">
        <v>2826</v>
      </c>
      <c r="B56" s="9" t="s">
        <v>2827</v>
      </c>
    </row>
    <row r="57" customFormat="false" ht="67.5" hidden="false" customHeight="true" outlineLevel="0" collapsed="false">
      <c r="A57" s="20" t="s">
        <v>2828</v>
      </c>
      <c r="B57" s="9" t="s">
        <v>2829</v>
      </c>
    </row>
    <row r="58" customFormat="false" ht="67.5" hidden="false" customHeight="true" outlineLevel="0" collapsed="false">
      <c r="A58" s="20" t="s">
        <v>2830</v>
      </c>
      <c r="B58" s="9" t="s">
        <v>2831</v>
      </c>
    </row>
    <row r="59" customFormat="false" ht="79.5" hidden="false" customHeight="true" outlineLevel="0" collapsed="false">
      <c r="A59" s="20" t="s">
        <v>2832</v>
      </c>
      <c r="B59" s="9" t="s">
        <v>2833</v>
      </c>
    </row>
    <row r="60" customFormat="false" ht="9.75" hidden="false" customHeight="true" outlineLevel="0" collapsed="false"/>
    <row r="61" customFormat="false" ht="30" hidden="false" customHeight="true" outlineLevel="0" collapsed="false">
      <c r="A61" s="21" t="s">
        <v>2834</v>
      </c>
    </row>
    <row r="62" customFormat="false" ht="24" hidden="false" customHeight="true" outlineLevel="0" collapsed="false">
      <c r="A62" s="6" t="s">
        <v>2771</v>
      </c>
      <c r="B62" s="6" t="s">
        <v>2835</v>
      </c>
    </row>
    <row r="63" customFormat="false" ht="15" hidden="false" customHeight="true" outlineLevel="0" collapsed="false">
      <c r="A63" s="97" t="s">
        <v>1862</v>
      </c>
      <c r="B63" s="101" t="n">
        <v>0.009</v>
      </c>
    </row>
    <row r="64" customFormat="false" ht="15" hidden="false" customHeight="true" outlineLevel="0" collapsed="false">
      <c r="A64" s="97" t="s">
        <v>1163</v>
      </c>
      <c r="B64" s="101" t="n">
        <v>0.002</v>
      </c>
    </row>
    <row r="65" customFormat="false" ht="15" hidden="false" customHeight="true" outlineLevel="0" collapsed="false">
      <c r="A65" s="97" t="s">
        <v>733</v>
      </c>
      <c r="B65" s="101" t="n">
        <v>0.051</v>
      </c>
    </row>
    <row r="66" customFormat="false" ht="15" hidden="false" customHeight="true" outlineLevel="0" collapsed="false">
      <c r="A66" s="97" t="s">
        <v>741</v>
      </c>
      <c r="B66" s="101" t="n">
        <v>0.087</v>
      </c>
    </row>
    <row r="67" customFormat="false" ht="15" hidden="false" customHeight="true" outlineLevel="0" collapsed="false">
      <c r="A67" s="97" t="s">
        <v>806</v>
      </c>
      <c r="B67" s="101" t="n">
        <v>0.026</v>
      </c>
    </row>
    <row r="69" customFormat="false" ht="18" hidden="false" customHeight="true" outlineLevel="0" collapsed="false">
      <c r="A69" s="127" t="s">
        <v>2111</v>
      </c>
      <c r="B69" s="127"/>
      <c r="C69" s="127"/>
      <c r="D69" s="127"/>
      <c r="E69" s="127"/>
    </row>
    <row r="70" customFormat="false" ht="15.75" hidden="false" customHeight="true" outlineLevel="0" collapsed="false">
      <c r="A70" s="9" t="s">
        <v>2836</v>
      </c>
      <c r="B70" s="128" t="n">
        <f aca="false">((1+B16)*(1+B17)*(1+B18)*(1+B19)*(1+B20))^(1/5)-1</f>
        <v>0.0345409876604357</v>
      </c>
    </row>
    <row r="71" customFormat="false" ht="15.75" hidden="false" customHeight="true" outlineLevel="0" collapsed="false">
      <c r="A71" s="9" t="s">
        <v>2837</v>
      </c>
      <c r="B71" s="154" t="n">
        <f aca="false">MAX(B16:B20)</f>
        <v>0.087</v>
      </c>
    </row>
    <row r="72" customFormat="false" ht="15.75" hidden="false" customHeight="true" outlineLevel="0" collapsed="false">
      <c r="A72" s="9" t="s">
        <v>2838</v>
      </c>
      <c r="B72" s="154" t="n">
        <f aca="false">MIN(B16:B20)</f>
        <v>0.002</v>
      </c>
    </row>
    <row r="73" customFormat="false" ht="30" hidden="false" customHeight="true" outlineLevel="0" collapsed="false">
      <c r="A73" s="3" t="s">
        <v>2839</v>
      </c>
      <c r="B73" s="3"/>
      <c r="C73" s="3"/>
      <c r="D73" s="3"/>
      <c r="E73" s="3"/>
    </row>
  </sheetData>
  <mergeCells count="9">
    <mergeCell ref="A1:E1"/>
    <mergeCell ref="A2:E2"/>
    <mergeCell ref="A4:E4"/>
    <mergeCell ref="A14:E14"/>
    <mergeCell ref="A28:E28"/>
    <mergeCell ref="A30:E30"/>
    <mergeCell ref="A53:E53"/>
    <mergeCell ref="A69:E69"/>
    <mergeCell ref="A73:E73"/>
  </mergeCells>
  <printOptions headings="false" gridLines="false" gridLinesSet="true" horizontalCentered="false" verticalCentered="false"/>
  <pageMargins left="0.75" right="0.75" top="1" bottom="1" header="0.511811023622047" footer="0.511805555555556"/>
  <pageSetup paperSize="5" scale="100" fitToWidth="1" fitToHeight="0" pageOrder="downThenOver" orientation="landscape" blackAndWhite="false" draft="false" cellComments="none" horizontalDpi="300" verticalDpi="300" copies="1"/>
  <headerFooter differentFirst="false" differentOddEven="false">
    <oddHeader/>
    <oddFooter>&amp;L&amp;8 IFT Sourced Evidence Master  |  verified 09 July 2026&amp;R&amp;8 &amp;A  |  page &amp;P of &amp;N</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3" min="2" style="1" width="13"/>
    <col collapsed="false" customWidth="true" hidden="false" outlineLevel="0" max="4" min="4" style="1" width="12"/>
    <col collapsed="false" customWidth="true" hidden="false" outlineLevel="0" max="5" min="5" style="1" width="46"/>
    <col collapsed="false" customWidth="true" hidden="false" outlineLevel="0" max="6" min="6" style="1" width="9"/>
  </cols>
  <sheetData>
    <row r="1" customFormat="false" ht="24" hidden="false" customHeight="true" outlineLevel="0" collapsed="false">
      <c r="A1" s="14" t="s">
        <v>2840</v>
      </c>
      <c r="B1" s="14"/>
      <c r="C1" s="14"/>
      <c r="D1" s="14"/>
      <c r="E1" s="14"/>
      <c r="F1" s="14"/>
    </row>
    <row r="2" customFormat="false" ht="42" hidden="false" customHeight="true" outlineLevel="0" collapsed="false">
      <c r="A2" s="3" t="s">
        <v>2841</v>
      </c>
      <c r="B2" s="3"/>
      <c r="C2" s="3"/>
      <c r="D2" s="3"/>
      <c r="E2" s="3"/>
      <c r="F2" s="3"/>
    </row>
    <row r="3" customFormat="false" ht="13.5" hidden="false" customHeight="true" outlineLevel="0" collapsed="false"/>
    <row r="4" customFormat="false" ht="16.5" hidden="false" customHeight="true" outlineLevel="0" collapsed="false">
      <c r="A4" s="15" t="s">
        <v>2842</v>
      </c>
      <c r="B4" s="15"/>
      <c r="C4" s="15"/>
      <c r="D4" s="15"/>
      <c r="E4" s="15"/>
      <c r="F4" s="15"/>
    </row>
    <row r="5" customFormat="false" ht="24" hidden="false" customHeight="true" outlineLevel="0" collapsed="false">
      <c r="A5" s="7" t="s">
        <v>1902</v>
      </c>
      <c r="B5" s="7" t="s">
        <v>1057</v>
      </c>
      <c r="C5" s="7" t="s">
        <v>1862</v>
      </c>
      <c r="D5" s="7" t="s">
        <v>2700</v>
      </c>
      <c r="E5" s="7" t="s">
        <v>2085</v>
      </c>
    </row>
    <row r="6" customFormat="false" ht="30" hidden="false" customHeight="true" outlineLevel="0" collapsed="false">
      <c r="A6" s="9" t="s">
        <v>2843</v>
      </c>
      <c r="B6" s="100" t="n">
        <v>486</v>
      </c>
      <c r="C6" s="100" t="n">
        <v>758</v>
      </c>
      <c r="D6" s="99" t="n">
        <f aca="false">C6/B6-1</f>
        <v>0.559670781893004</v>
      </c>
      <c r="E6" s="9" t="s">
        <v>2844</v>
      </c>
    </row>
    <row r="7" customFormat="false" ht="16.5" hidden="false" customHeight="true" outlineLevel="0" collapsed="false">
      <c r="A7" s="9" t="s">
        <v>2845</v>
      </c>
      <c r="B7" s="100" t="n">
        <v>373</v>
      </c>
      <c r="C7" s="100" t="n">
        <v>522</v>
      </c>
      <c r="D7" s="99" t="n">
        <f aca="false">C7/B7-1</f>
        <v>0.399463806970509</v>
      </c>
      <c r="E7" s="11"/>
    </row>
    <row r="8" customFormat="false" ht="30" hidden="false" customHeight="true" outlineLevel="0" collapsed="false">
      <c r="A8" s="9" t="s">
        <v>2846</v>
      </c>
      <c r="B8" s="100" t="n">
        <v>1042</v>
      </c>
      <c r="C8" s="100" t="n">
        <v>1277</v>
      </c>
      <c r="D8" s="99" t="n">
        <f aca="false">C8/B8-1</f>
        <v>0.22552783109405</v>
      </c>
      <c r="E8" s="9" t="s">
        <v>2847</v>
      </c>
    </row>
    <row r="9" customFormat="false" ht="16.5" hidden="false" customHeight="true" outlineLevel="0" collapsed="false">
      <c r="A9" s="9" t="s">
        <v>2848</v>
      </c>
      <c r="B9" s="100" t="n">
        <v>800</v>
      </c>
      <c r="C9" s="100" t="n">
        <v>940</v>
      </c>
      <c r="D9" s="99" t="n">
        <f aca="false">C9/B9-1</f>
        <v>0.175</v>
      </c>
      <c r="E9" s="11"/>
    </row>
    <row r="10" customFormat="false" ht="243.75" hidden="false" customHeight="true" outlineLevel="0" collapsed="false">
      <c r="A10" s="9" t="s">
        <v>2849</v>
      </c>
      <c r="B10" s="101" t="n">
        <v>0.048</v>
      </c>
      <c r="C10" s="9" t="s">
        <v>2850</v>
      </c>
    </row>
    <row r="11" customFormat="false" ht="30" hidden="false" customHeight="true" outlineLevel="0" collapsed="false">
      <c r="A11" s="5" t="s">
        <v>2851</v>
      </c>
      <c r="B11" s="5"/>
      <c r="C11" s="5"/>
      <c r="D11" s="5"/>
      <c r="E11" s="5"/>
      <c r="F11" s="5"/>
    </row>
    <row r="12" customFormat="false" ht="9.75" hidden="false" customHeight="true" outlineLevel="0" collapsed="false"/>
    <row r="13" customFormat="false" ht="19.5" hidden="false" customHeight="true" outlineLevel="0" collapsed="false">
      <c r="A13" s="15" t="s">
        <v>2852</v>
      </c>
      <c r="B13" s="15"/>
      <c r="C13" s="15"/>
      <c r="D13" s="15"/>
      <c r="E13" s="15"/>
      <c r="F13" s="15"/>
    </row>
    <row r="14" customFormat="false" ht="24" hidden="false" customHeight="true" outlineLevel="0" collapsed="false">
      <c r="A14" s="7" t="s">
        <v>1902</v>
      </c>
      <c r="B14" s="7" t="s">
        <v>2853</v>
      </c>
      <c r="C14" s="7" t="s">
        <v>581</v>
      </c>
      <c r="D14" s="7" t="s">
        <v>2854</v>
      </c>
      <c r="E14" s="7" t="s">
        <v>581</v>
      </c>
      <c r="F14" s="7" t="s">
        <v>2855</v>
      </c>
    </row>
    <row r="15" customFormat="false" ht="16.5" hidden="false" customHeight="true" outlineLevel="0" collapsed="false">
      <c r="A15" s="9" t="s">
        <v>2856</v>
      </c>
      <c r="B15" s="124" t="s">
        <v>2857</v>
      </c>
      <c r="C15" s="100" t="n">
        <v>1461</v>
      </c>
      <c r="D15" s="124" t="s">
        <v>2858</v>
      </c>
      <c r="E15" s="100" t="n">
        <v>836</v>
      </c>
      <c r="F15" s="102" t="n">
        <f aca="false">C15/E15</f>
        <v>1.74760765550239</v>
      </c>
    </row>
    <row r="16" customFormat="false" ht="30" hidden="false" customHeight="true" outlineLevel="0" collapsed="false">
      <c r="A16" s="9" t="s">
        <v>2859</v>
      </c>
      <c r="B16" s="124" t="s">
        <v>2860</v>
      </c>
      <c r="C16" s="100" t="n">
        <v>28</v>
      </c>
      <c r="D16" s="124" t="s">
        <v>2861</v>
      </c>
      <c r="E16" s="168" t="n">
        <v>5.79</v>
      </c>
      <c r="F16" s="102" t="n">
        <f aca="false">C16/E16</f>
        <v>4.83592400690846</v>
      </c>
    </row>
    <row r="17" customFormat="false" ht="30" hidden="false" customHeight="true" outlineLevel="0" collapsed="false">
      <c r="A17" s="5" t="s">
        <v>2862</v>
      </c>
      <c r="B17" s="5"/>
      <c r="C17" s="5"/>
      <c r="D17" s="5"/>
      <c r="E17" s="5"/>
      <c r="F17" s="5"/>
    </row>
    <row r="18" customFormat="false" ht="9.75" hidden="false" customHeight="true" outlineLevel="0" collapsed="false"/>
    <row r="19" customFormat="false" ht="19.5" hidden="false" customHeight="true" outlineLevel="0" collapsed="false">
      <c r="A19" s="15" t="s">
        <v>2863</v>
      </c>
      <c r="B19" s="15"/>
      <c r="C19" s="15"/>
      <c r="D19" s="15"/>
      <c r="E19" s="15"/>
      <c r="F19" s="15"/>
    </row>
    <row r="20" customFormat="false" ht="24" hidden="false" customHeight="true" outlineLevel="0" collapsed="false">
      <c r="A20" s="7" t="s">
        <v>2864</v>
      </c>
      <c r="B20" s="7" t="s">
        <v>581</v>
      </c>
      <c r="C20" s="7" t="s">
        <v>2865</v>
      </c>
    </row>
    <row r="21" customFormat="false" ht="117.75" hidden="false" customHeight="true" outlineLevel="0" collapsed="false">
      <c r="A21" s="9" t="s">
        <v>2866</v>
      </c>
      <c r="B21" s="163" t="n">
        <f aca="false">18668/3739</f>
        <v>4.99277881786574</v>
      </c>
      <c r="C21" s="9" t="s">
        <v>2867</v>
      </c>
    </row>
    <row r="22" customFormat="false" ht="300" hidden="false" customHeight="true" outlineLevel="0" collapsed="false">
      <c r="A22" s="9" t="s">
        <v>2868</v>
      </c>
      <c r="B22" s="102" t="n">
        <f aca="false">758/480</f>
        <v>1.57916666666667</v>
      </c>
      <c r="C22" s="9" t="s">
        <v>2869</v>
      </c>
    </row>
    <row r="23" customFormat="false" ht="42" hidden="false" customHeight="true" outlineLevel="0" collapsed="false">
      <c r="A23" s="5" t="s">
        <v>2870</v>
      </c>
      <c r="B23" s="5"/>
      <c r="C23" s="5"/>
      <c r="D23" s="5"/>
      <c r="E23" s="5"/>
      <c r="F23" s="5"/>
    </row>
    <row r="24" customFormat="false" ht="9.75" hidden="false" customHeight="true" outlineLevel="0" collapsed="false"/>
    <row r="25" customFormat="false" ht="19.5" hidden="false" customHeight="true" outlineLevel="0" collapsed="false">
      <c r="A25" s="15" t="s">
        <v>2871</v>
      </c>
      <c r="B25" s="15"/>
      <c r="C25" s="15"/>
      <c r="D25" s="15"/>
      <c r="E25" s="15"/>
      <c r="F25" s="15"/>
    </row>
    <row r="26" customFormat="false" ht="117.75" hidden="false" customHeight="true" outlineLevel="0" collapsed="false">
      <c r="A26" s="20" t="s">
        <v>2872</v>
      </c>
      <c r="B26" s="9" t="s">
        <v>2873</v>
      </c>
    </row>
    <row r="27" customFormat="false" ht="180.75" hidden="false" customHeight="true" outlineLevel="0" collapsed="false">
      <c r="A27" s="20" t="s">
        <v>2874</v>
      </c>
      <c r="B27" s="9" t="s">
        <v>2875</v>
      </c>
    </row>
    <row r="28" customFormat="false" ht="300" hidden="false" customHeight="true" outlineLevel="0" collapsed="false">
      <c r="A28" s="20" t="s">
        <v>2876</v>
      </c>
      <c r="B28" s="9" t="s">
        <v>2877</v>
      </c>
    </row>
    <row r="29" customFormat="false" ht="219" hidden="false" customHeight="true" outlineLevel="0" collapsed="false">
      <c r="A29" s="20" t="s">
        <v>2878</v>
      </c>
      <c r="B29" s="9" t="s">
        <v>2879</v>
      </c>
    </row>
    <row r="30" customFormat="false" ht="193.5" hidden="false" customHeight="true" outlineLevel="0" collapsed="false">
      <c r="A30" s="20" t="s">
        <v>2880</v>
      </c>
      <c r="B30" s="9" t="s">
        <v>2881</v>
      </c>
    </row>
    <row r="31" customFormat="false" ht="117.75" hidden="false" customHeight="true" outlineLevel="0" collapsed="false">
      <c r="A31" s="20" t="s">
        <v>2882</v>
      </c>
      <c r="B31" s="9" t="s">
        <v>2883</v>
      </c>
    </row>
    <row r="32" customFormat="false" ht="9.75" hidden="false" customHeight="true" outlineLevel="0" collapsed="false"/>
    <row r="33" customFormat="false" ht="19.5" hidden="false" customHeight="true" outlineLevel="0" collapsed="false">
      <c r="A33" s="15" t="s">
        <v>2884</v>
      </c>
      <c r="B33" s="15"/>
      <c r="C33" s="15"/>
      <c r="D33" s="15"/>
      <c r="E33" s="15"/>
      <c r="F33" s="15"/>
    </row>
    <row r="34" customFormat="false" ht="193.5" hidden="false" customHeight="true" outlineLevel="0" collapsed="false">
      <c r="A34" s="20" t="s">
        <v>2885</v>
      </c>
      <c r="B34" s="9" t="s">
        <v>2886</v>
      </c>
    </row>
    <row r="35" customFormat="false" ht="231" hidden="false" customHeight="true" outlineLevel="0" collapsed="false">
      <c r="A35" s="20" t="s">
        <v>2887</v>
      </c>
      <c r="B35" s="9" t="s">
        <v>2888</v>
      </c>
    </row>
    <row r="36" customFormat="false" ht="205.5" hidden="false" customHeight="true" outlineLevel="0" collapsed="false">
      <c r="A36" s="20" t="s">
        <v>2889</v>
      </c>
      <c r="B36" s="9" t="s">
        <v>2890</v>
      </c>
    </row>
    <row r="37" customFormat="false" ht="231" hidden="false" customHeight="true" outlineLevel="0" collapsed="false">
      <c r="A37" s="20" t="s">
        <v>2891</v>
      </c>
      <c r="B37" s="9" t="s">
        <v>2892</v>
      </c>
    </row>
  </sheetData>
  <mergeCells count="10">
    <mergeCell ref="A1:F1"/>
    <mergeCell ref="A2:F2"/>
    <mergeCell ref="A4:F4"/>
    <mergeCell ref="A11:F11"/>
    <mergeCell ref="A13:F13"/>
    <mergeCell ref="A17:F17"/>
    <mergeCell ref="A19:F19"/>
    <mergeCell ref="A23:F23"/>
    <mergeCell ref="A25:F25"/>
    <mergeCell ref="A33:F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10"/>
    <col collapsed="false" customWidth="true" hidden="false" outlineLevel="0" max="4" min="3" style="1" width="16"/>
  </cols>
  <sheetData>
    <row r="1" customFormat="false" ht="24" hidden="false" customHeight="true" outlineLevel="0" collapsed="false">
      <c r="A1" s="14" t="s">
        <v>2893</v>
      </c>
      <c r="B1" s="14"/>
      <c r="C1" s="14"/>
      <c r="D1" s="14"/>
    </row>
    <row r="2" customFormat="false" ht="67.5" hidden="false" customHeight="true" outlineLevel="0" collapsed="false">
      <c r="A2" s="3" t="s">
        <v>2894</v>
      </c>
      <c r="B2" s="3"/>
      <c r="C2" s="3"/>
      <c r="D2" s="3"/>
    </row>
    <row r="3" customFormat="false" ht="13.5" hidden="false" customHeight="true" outlineLevel="0" collapsed="false"/>
    <row r="4" customFormat="false" ht="19.5" hidden="false" customHeight="true" outlineLevel="0" collapsed="false">
      <c r="A4" s="15" t="s">
        <v>2895</v>
      </c>
      <c r="B4" s="15"/>
      <c r="C4" s="15"/>
      <c r="D4" s="15"/>
    </row>
    <row r="5" customFormat="false" ht="24" hidden="false" customHeight="true" outlineLevel="0" collapsed="false">
      <c r="A5" s="7" t="s">
        <v>1902</v>
      </c>
      <c r="B5" s="7" t="s">
        <v>844</v>
      </c>
      <c r="C5" s="7" t="s">
        <v>806</v>
      </c>
      <c r="D5" s="7" t="s">
        <v>2700</v>
      </c>
    </row>
    <row r="6" customFormat="false" ht="16.5" hidden="false" customHeight="true" outlineLevel="0" collapsed="false">
      <c r="A6" s="9" t="s">
        <v>2896</v>
      </c>
      <c r="B6" s="98" t="n">
        <v>9028</v>
      </c>
      <c r="C6" s="98" t="n">
        <v>8721</v>
      </c>
      <c r="D6" s="99" t="n">
        <f aca="false">C6/B6-1</f>
        <v>-0.0340053167922021</v>
      </c>
    </row>
    <row r="7" customFormat="false" ht="16.5" hidden="false" customHeight="true" outlineLevel="0" collapsed="false">
      <c r="A7" s="9" t="s">
        <v>2897</v>
      </c>
      <c r="B7" s="98" t="n">
        <v>12890235</v>
      </c>
      <c r="C7" s="98" t="n">
        <v>9542103</v>
      </c>
      <c r="D7" s="99" t="n">
        <f aca="false">C7/B7-1</f>
        <v>-0.259741734731756</v>
      </c>
    </row>
    <row r="8" customFormat="false" ht="16.5" hidden="false" customHeight="true" outlineLevel="0" collapsed="false">
      <c r="A8" s="9" t="s">
        <v>2898</v>
      </c>
      <c r="B8" s="98" t="n">
        <v>336</v>
      </c>
      <c r="C8" s="98" t="n">
        <v>279</v>
      </c>
      <c r="D8" s="99" t="n">
        <f aca="false">C8/B8-1</f>
        <v>-0.169642857142857</v>
      </c>
    </row>
    <row r="9" customFormat="false" ht="16.5" hidden="false" customHeight="true" outlineLevel="0" collapsed="false">
      <c r="A9" s="9" t="s">
        <v>2899</v>
      </c>
      <c r="B9" s="101" t="n">
        <v>0.0526586206329162</v>
      </c>
      <c r="C9" s="101" t="n">
        <v>0.0616932163357791</v>
      </c>
      <c r="D9" s="99" t="n">
        <f aca="false">C9/B9-1</f>
        <v>0.171569167484336</v>
      </c>
    </row>
    <row r="10" customFormat="false" ht="16.5" hidden="false" customHeight="true" outlineLevel="0" collapsed="false">
      <c r="A10" s="9" t="s">
        <v>2900</v>
      </c>
      <c r="B10" s="101" t="n">
        <v>0.145087477884713</v>
      </c>
      <c r="C10" s="101" t="n">
        <v>0.165382522715696</v>
      </c>
      <c r="D10" s="99" t="n">
        <f aca="false">C10/B10-1</f>
        <v>0.139881436543473</v>
      </c>
    </row>
    <row r="11" customFormat="false" ht="16.5" hidden="false" customHeight="true" outlineLevel="0" collapsed="false">
      <c r="A11" s="9" t="s">
        <v>2901</v>
      </c>
      <c r="B11" s="101" t="n">
        <v>0.219389885293869</v>
      </c>
      <c r="C11" s="101" t="n">
        <v>0.245692862283833</v>
      </c>
      <c r="D11" s="99" t="n">
        <f aca="false">C11/B11-1</f>
        <v>0.119891475191446</v>
      </c>
    </row>
    <row r="12" customFormat="false" ht="16.5" hidden="false" customHeight="true" outlineLevel="0" collapsed="false">
      <c r="A12" s="9" t="s">
        <v>1329</v>
      </c>
      <c r="B12" s="98" t="n">
        <v>3075</v>
      </c>
      <c r="C12" s="98" t="n">
        <v>2683</v>
      </c>
      <c r="D12" s="99" t="n">
        <f aca="false">C12/B12-1</f>
        <v>-0.127479674796748</v>
      </c>
    </row>
    <row r="13" customFormat="false" ht="16.5" hidden="false" customHeight="true" outlineLevel="0" collapsed="false">
      <c r="A13" s="9" t="s">
        <v>2902</v>
      </c>
      <c r="B13" s="98" t="n">
        <v>677</v>
      </c>
      <c r="C13" s="98" t="n">
        <v>573</v>
      </c>
      <c r="D13" s="99" t="n">
        <f aca="false">C13/B13-1</f>
        <v>-0.153618906942393</v>
      </c>
    </row>
    <row r="14" customFormat="false" ht="16.5" hidden="false" customHeight="true" outlineLevel="0" collapsed="false">
      <c r="A14" s="9" t="s">
        <v>2903</v>
      </c>
      <c r="B14" s="98" t="n">
        <v>394</v>
      </c>
      <c r="C14" s="98" t="n">
        <v>417</v>
      </c>
      <c r="D14" s="99" t="n">
        <f aca="false">C14/B14-1</f>
        <v>0.0583756345177664</v>
      </c>
    </row>
    <row r="15" customFormat="false" ht="9.75" hidden="false" customHeight="true" outlineLevel="0" collapsed="false"/>
    <row r="16" customFormat="false" ht="93" hidden="false" customHeight="true" outlineLevel="0" collapsed="false">
      <c r="A16" s="5" t="s">
        <v>2904</v>
      </c>
      <c r="B16" s="5"/>
      <c r="C16" s="5"/>
      <c r="D16" s="5"/>
    </row>
    <row r="17" customFormat="false" ht="9.75" hidden="false" customHeight="true" outlineLevel="0" collapsed="false"/>
    <row r="18" customFormat="false" ht="30" hidden="false" customHeight="true" outlineLevel="0" collapsed="false">
      <c r="A18" s="15" t="s">
        <v>2905</v>
      </c>
      <c r="B18" s="15"/>
      <c r="C18" s="15"/>
      <c r="D18" s="15"/>
    </row>
    <row r="19" customFormat="false" ht="33.75" hidden="false" customHeight="true" outlineLevel="0" collapsed="false">
      <c r="A19" s="7" t="s">
        <v>2906</v>
      </c>
      <c r="B19" s="7" t="s">
        <v>1970</v>
      </c>
      <c r="C19" s="7" t="s">
        <v>2907</v>
      </c>
      <c r="D19" s="7" t="s">
        <v>2908</v>
      </c>
    </row>
    <row r="20" customFormat="false" ht="16.5" hidden="false" customHeight="true" outlineLevel="0" collapsed="false">
      <c r="A20" s="9" t="s">
        <v>2909</v>
      </c>
      <c r="B20" s="97" t="s">
        <v>2910</v>
      </c>
      <c r="C20" s="98" t="n">
        <v>88755</v>
      </c>
      <c r="D20" s="98" t="n">
        <v>105282</v>
      </c>
    </row>
    <row r="21" customFormat="false" ht="16.5" hidden="false" customHeight="true" outlineLevel="0" collapsed="false">
      <c r="A21" s="9" t="s">
        <v>2911</v>
      </c>
      <c r="B21" s="97" t="s">
        <v>2912</v>
      </c>
      <c r="C21" s="98" t="n">
        <v>72860</v>
      </c>
      <c r="D21" s="98" t="n">
        <v>87248</v>
      </c>
    </row>
    <row r="22" customFormat="false" ht="16.5" hidden="false" customHeight="true" outlineLevel="0" collapsed="false">
      <c r="A22" s="9" t="s">
        <v>2913</v>
      </c>
      <c r="B22" s="97" t="s">
        <v>1986</v>
      </c>
      <c r="C22" s="98" t="n">
        <v>69643</v>
      </c>
    </row>
    <row r="23" customFormat="false" ht="16.5" hidden="false" customHeight="true" outlineLevel="0" collapsed="false">
      <c r="A23" s="9" t="s">
        <v>2914</v>
      </c>
      <c r="B23" s="97" t="s">
        <v>2915</v>
      </c>
      <c r="C23" s="98" t="n">
        <v>64311</v>
      </c>
      <c r="D23" s="98" t="n">
        <v>74699</v>
      </c>
    </row>
    <row r="24" customFormat="false" ht="16.5" hidden="false" customHeight="true" outlineLevel="0" collapsed="false">
      <c r="A24" s="9" t="s">
        <v>2916</v>
      </c>
      <c r="B24" s="97" t="s">
        <v>2917</v>
      </c>
      <c r="C24" s="98" t="n">
        <v>59003</v>
      </c>
      <c r="D24" s="98" t="n">
        <v>55521</v>
      </c>
    </row>
    <row r="25" customFormat="false" ht="16.5" hidden="false" customHeight="true" outlineLevel="0" collapsed="false">
      <c r="A25" s="9" t="s">
        <v>2918</v>
      </c>
      <c r="B25" s="97" t="s">
        <v>2919</v>
      </c>
      <c r="C25" s="98" t="n">
        <v>53388</v>
      </c>
      <c r="D25" s="98" t="n">
        <v>63137</v>
      </c>
    </row>
    <row r="26" customFormat="false" ht="16.5" hidden="false" customHeight="true" outlineLevel="0" collapsed="false">
      <c r="A26" s="9" t="s">
        <v>2920</v>
      </c>
      <c r="B26" s="97" t="s">
        <v>2921</v>
      </c>
      <c r="C26" s="98" t="n">
        <v>51791</v>
      </c>
      <c r="D26" s="98" t="n">
        <v>62920</v>
      </c>
    </row>
    <row r="27" customFormat="false" ht="16.5" hidden="false" customHeight="true" outlineLevel="0" collapsed="false">
      <c r="A27" s="9" t="s">
        <v>2922</v>
      </c>
      <c r="B27" s="97" t="s">
        <v>2915</v>
      </c>
      <c r="C27" s="98" t="n">
        <v>47698</v>
      </c>
      <c r="D27" s="98" t="n">
        <v>58027</v>
      </c>
    </row>
    <row r="28" customFormat="false" ht="16.5" hidden="false" customHeight="true" outlineLevel="0" collapsed="false">
      <c r="A28" s="9" t="s">
        <v>2923</v>
      </c>
      <c r="B28" s="97" t="s">
        <v>2924</v>
      </c>
      <c r="C28" s="98" t="n">
        <v>42010</v>
      </c>
    </row>
    <row r="29" customFormat="false" ht="16.5" hidden="false" customHeight="true" outlineLevel="0" collapsed="false">
      <c r="A29" s="9" t="s">
        <v>2925</v>
      </c>
      <c r="B29" s="97" t="s">
        <v>2924</v>
      </c>
      <c r="C29" s="98" t="n">
        <v>39224</v>
      </c>
    </row>
    <row r="30" customFormat="false" ht="16.5" hidden="false" customHeight="true" outlineLevel="0" collapsed="false">
      <c r="A30" s="9" t="s">
        <v>2926</v>
      </c>
      <c r="B30" s="97" t="s">
        <v>2915</v>
      </c>
      <c r="C30" s="98" t="n">
        <v>37480</v>
      </c>
    </row>
    <row r="31" customFormat="false" ht="16.5" hidden="false" customHeight="true" outlineLevel="0" collapsed="false">
      <c r="A31" s="9" t="s">
        <v>2927</v>
      </c>
      <c r="B31" s="97" t="s">
        <v>2917</v>
      </c>
      <c r="C31" s="98" t="n">
        <v>37337</v>
      </c>
      <c r="D31" s="98" t="n">
        <v>59509</v>
      </c>
    </row>
    <row r="32" customFormat="false" ht="9.75" hidden="false" customHeight="true" outlineLevel="0" collapsed="false"/>
    <row r="33" customFormat="false" ht="79.5" hidden="false" customHeight="true" outlineLevel="0" collapsed="false">
      <c r="A33" s="5" t="s">
        <v>2928</v>
      </c>
      <c r="B33" s="5"/>
      <c r="C33" s="5"/>
      <c r="D33" s="5"/>
    </row>
    <row r="34" customFormat="false" ht="9.75" hidden="false" customHeight="true" outlineLevel="0" collapsed="false"/>
    <row r="35" customFormat="false" ht="19.5" hidden="false" customHeight="true" outlineLevel="0" collapsed="false">
      <c r="A35" s="15" t="s">
        <v>2929</v>
      </c>
      <c r="B35" s="15"/>
      <c r="C35" s="15"/>
      <c r="D35" s="15"/>
    </row>
    <row r="36" customFormat="false" ht="67.5" hidden="false" customHeight="true" outlineLevel="0" collapsed="false">
      <c r="A36" s="5" t="s">
        <v>2930</v>
      </c>
      <c r="B36" s="5"/>
      <c r="C36" s="5"/>
      <c r="D36" s="5"/>
    </row>
  </sheetData>
  <mergeCells count="8">
    <mergeCell ref="A1:D1"/>
    <mergeCell ref="A2:D2"/>
    <mergeCell ref="A4:D4"/>
    <mergeCell ref="A16:D16"/>
    <mergeCell ref="A18:D18"/>
    <mergeCell ref="A33:D33"/>
    <mergeCell ref="A35:D35"/>
    <mergeCell ref="A36:D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6"/>
    <col collapsed="false" customWidth="true" hidden="false" outlineLevel="0" max="4" min="3" style="1" width="15"/>
    <col collapsed="false" customWidth="true" hidden="false" outlineLevel="0" max="5" min="5" style="1" width="13"/>
    <col collapsed="false" customWidth="true" hidden="false" outlineLevel="0" max="6" min="6" style="1" width="14"/>
    <col collapsed="false" customWidth="true" hidden="false" outlineLevel="0" max="7" min="7" style="1" width="17"/>
  </cols>
  <sheetData>
    <row r="1" customFormat="false" ht="24" hidden="false" customHeight="true" outlineLevel="0" collapsed="false">
      <c r="A1" s="14" t="s">
        <v>2931</v>
      </c>
      <c r="B1" s="14"/>
      <c r="C1" s="14"/>
      <c r="D1" s="14"/>
      <c r="E1" s="14"/>
      <c r="F1" s="14"/>
      <c r="G1" s="14"/>
    </row>
    <row r="2" customFormat="false" ht="42" hidden="false" customHeight="true" outlineLevel="0" collapsed="false">
      <c r="A2" s="3" t="s">
        <v>2932</v>
      </c>
      <c r="B2" s="3"/>
      <c r="C2" s="3"/>
      <c r="D2" s="3"/>
      <c r="E2" s="3"/>
      <c r="F2" s="3"/>
      <c r="G2" s="3"/>
    </row>
    <row r="3" customFormat="false" ht="13.5" hidden="false" customHeight="true" outlineLevel="0" collapsed="false"/>
    <row r="4" customFormat="false" ht="33.75" hidden="false" customHeight="true" outlineLevel="0" collapsed="false">
      <c r="A4" s="7" t="s">
        <v>2933</v>
      </c>
      <c r="B4" s="7" t="s">
        <v>2896</v>
      </c>
      <c r="C4" s="7" t="s">
        <v>2934</v>
      </c>
      <c r="D4" s="7" t="s">
        <v>2935</v>
      </c>
      <c r="E4" s="7" t="s">
        <v>2936</v>
      </c>
      <c r="F4" s="7" t="s">
        <v>2937</v>
      </c>
      <c r="G4" s="7" t="s">
        <v>1329</v>
      </c>
    </row>
    <row r="5" customFormat="false" ht="15" hidden="false" customHeight="true" outlineLevel="0" collapsed="false">
      <c r="A5" s="124" t="s">
        <v>2177</v>
      </c>
      <c r="B5" s="98" t="n">
        <v>9305</v>
      </c>
      <c r="C5" s="98" t="n">
        <v>15037862</v>
      </c>
      <c r="D5" s="101" t="n">
        <v>0.0509</v>
      </c>
      <c r="E5" s="101" t="n">
        <v>0.219</v>
      </c>
      <c r="F5" s="98" t="n">
        <v>344</v>
      </c>
      <c r="G5" s="98" t="n">
        <v>3329</v>
      </c>
    </row>
    <row r="6" customFormat="false" ht="15" hidden="false" customHeight="true" outlineLevel="0" collapsed="false">
      <c r="A6" s="124" t="s">
        <v>2178</v>
      </c>
      <c r="B6" s="98" t="n">
        <v>9232</v>
      </c>
      <c r="C6" s="98" t="n">
        <v>14235792</v>
      </c>
      <c r="D6" s="101" t="n">
        <v>0.0492</v>
      </c>
      <c r="E6" s="101" t="n">
        <v>0.2219</v>
      </c>
      <c r="F6" s="98" t="n">
        <v>334</v>
      </c>
      <c r="G6" s="98" t="n">
        <v>3263</v>
      </c>
    </row>
    <row r="7" customFormat="false" ht="15" hidden="false" customHeight="true" outlineLevel="0" collapsed="false">
      <c r="A7" s="124" t="s">
        <v>866</v>
      </c>
      <c r="B7" s="98" t="n">
        <v>9137</v>
      </c>
      <c r="C7" s="98" t="n">
        <v>13783259</v>
      </c>
      <c r="D7" s="101" t="n">
        <v>0.0508</v>
      </c>
      <c r="E7" s="101" t="n">
        <v>0.2208</v>
      </c>
      <c r="F7" s="98" t="n">
        <v>336</v>
      </c>
      <c r="G7" s="98" t="n">
        <v>3124</v>
      </c>
    </row>
    <row r="8" customFormat="false" ht="15" hidden="false" customHeight="true" outlineLevel="0" collapsed="false">
      <c r="A8" s="124" t="s">
        <v>1057</v>
      </c>
      <c r="B8" s="98" t="n">
        <v>9109</v>
      </c>
      <c r="C8" s="98" t="n">
        <v>13713824</v>
      </c>
      <c r="D8" s="101" t="n">
        <v>0.0518</v>
      </c>
      <c r="E8" s="101" t="n">
        <v>0.2202</v>
      </c>
      <c r="F8" s="98" t="n">
        <v>338</v>
      </c>
      <c r="G8" s="98" t="n">
        <v>3108</v>
      </c>
    </row>
    <row r="9" customFormat="false" ht="15" hidden="false" customHeight="true" outlineLevel="0" collapsed="false">
      <c r="A9" s="124" t="s">
        <v>1153</v>
      </c>
      <c r="B9" s="98" t="n">
        <v>9017</v>
      </c>
      <c r="C9" s="98" t="n">
        <v>13358909</v>
      </c>
      <c r="D9" s="101" t="n">
        <v>0.0525</v>
      </c>
      <c r="E9" s="101" t="n">
        <v>0.2223</v>
      </c>
      <c r="F9" s="98" t="n">
        <v>340</v>
      </c>
      <c r="G9" s="98" t="n">
        <v>3117</v>
      </c>
    </row>
    <row r="10" customFormat="false" ht="15" hidden="false" customHeight="true" outlineLevel="0" collapsed="false">
      <c r="A10" s="124" t="s">
        <v>844</v>
      </c>
      <c r="B10" s="98" t="n">
        <v>9028</v>
      </c>
      <c r="C10" s="98" t="n">
        <v>12890235</v>
      </c>
      <c r="D10" s="101" t="n">
        <v>0.0526586206329162</v>
      </c>
      <c r="E10" s="101" t="n">
        <v>0.219389885293869</v>
      </c>
      <c r="F10" s="98" t="n">
        <v>336</v>
      </c>
      <c r="G10" s="98" t="n">
        <v>3075</v>
      </c>
    </row>
    <row r="11" customFormat="false" ht="15" hidden="false" customHeight="true" outlineLevel="0" collapsed="false">
      <c r="A11" s="124" t="s">
        <v>1862</v>
      </c>
      <c r="B11" s="98" t="n">
        <v>8941</v>
      </c>
      <c r="C11" s="98" t="n">
        <v>11531316</v>
      </c>
      <c r="D11" s="101" t="n">
        <v>0.0522</v>
      </c>
      <c r="E11" s="101" t="n">
        <v>0.2173</v>
      </c>
      <c r="F11" s="98" t="n">
        <v>317</v>
      </c>
      <c r="G11" s="98" t="n">
        <v>3057</v>
      </c>
    </row>
    <row r="12" customFormat="false" ht="15" hidden="false" customHeight="true" outlineLevel="0" collapsed="false">
      <c r="A12" s="124" t="s">
        <v>1163</v>
      </c>
      <c r="B12" s="98" t="n">
        <v>8947</v>
      </c>
      <c r="C12" s="98" t="n">
        <v>10902433</v>
      </c>
      <c r="D12" s="101" t="n">
        <v>0.0526</v>
      </c>
      <c r="E12" s="101" t="n">
        <v>0.2182</v>
      </c>
      <c r="F12" s="98" t="n">
        <v>314</v>
      </c>
      <c r="G12" s="98" t="n">
        <v>3055</v>
      </c>
    </row>
    <row r="13" customFormat="false" ht="15" hidden="false" customHeight="true" outlineLevel="0" collapsed="false">
      <c r="A13" s="124" t="s">
        <v>733</v>
      </c>
      <c r="B13" s="98" t="n">
        <v>8833</v>
      </c>
      <c r="C13" s="98" t="n">
        <v>10084704</v>
      </c>
      <c r="D13" s="101" t="n">
        <v>0.0582</v>
      </c>
      <c r="E13" s="101" t="n">
        <v>0.2318</v>
      </c>
      <c r="F13" s="98" t="n">
        <v>302</v>
      </c>
      <c r="G13" s="98" t="n">
        <v>2897</v>
      </c>
    </row>
    <row r="14" customFormat="false" ht="15" hidden="false" customHeight="true" outlineLevel="0" collapsed="false">
      <c r="A14" s="124" t="s">
        <v>741</v>
      </c>
      <c r="B14" s="98" t="n">
        <v>8759</v>
      </c>
      <c r="C14" s="98" t="n">
        <v>9660141</v>
      </c>
      <c r="D14" s="101" t="n">
        <v>0.06</v>
      </c>
      <c r="E14" s="101" t="n">
        <v>0.2412</v>
      </c>
      <c r="F14" s="98" t="n">
        <v>280</v>
      </c>
      <c r="G14" s="98" t="n">
        <v>2772</v>
      </c>
    </row>
    <row r="15" customFormat="false" ht="15" hidden="false" customHeight="true" outlineLevel="0" collapsed="false">
      <c r="A15" s="124" t="s">
        <v>806</v>
      </c>
      <c r="B15" s="98" t="n">
        <v>8721</v>
      </c>
      <c r="C15" s="98" t="n">
        <v>9542103</v>
      </c>
      <c r="D15" s="101" t="n">
        <v>0.0616932163357791</v>
      </c>
      <c r="E15" s="101" t="n">
        <v>0.245692862283833</v>
      </c>
      <c r="F15" s="98" t="n">
        <v>279</v>
      </c>
      <c r="G15" s="98" t="n">
        <v>2683</v>
      </c>
    </row>
    <row r="16" customFormat="false" ht="9.75" hidden="false" customHeight="true" outlineLevel="0" collapsed="false"/>
    <row r="17" customFormat="false" ht="54.75" hidden="false" customHeight="true" outlineLevel="0" collapsed="false">
      <c r="A17" s="5" t="s">
        <v>2938</v>
      </c>
      <c r="B17" s="5"/>
      <c r="C17" s="5"/>
      <c r="D17" s="5"/>
      <c r="E17" s="5"/>
      <c r="F17" s="5"/>
      <c r="G17" s="5"/>
    </row>
  </sheetData>
  <mergeCells count="3">
    <mergeCell ref="A1:G1"/>
    <mergeCell ref="A2:G2"/>
    <mergeCell ref="A17:G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4" min="2" style="1" width="12"/>
    <col collapsed="false" customWidth="true" hidden="false" outlineLevel="0" max="6" min="5" style="1" width="14"/>
    <col collapsed="false" customWidth="true" hidden="false" outlineLevel="0" max="8" min="7" style="1" width="13"/>
  </cols>
  <sheetData>
    <row r="1" customFormat="false" ht="30" hidden="false" customHeight="true" outlineLevel="0" collapsed="false">
      <c r="A1" s="14" t="s">
        <v>2939</v>
      </c>
      <c r="B1" s="14"/>
      <c r="C1" s="14"/>
      <c r="D1" s="14"/>
      <c r="E1" s="14"/>
      <c r="F1" s="14"/>
    </row>
    <row r="2" customFormat="false" ht="54.75" hidden="false" customHeight="true" outlineLevel="0" collapsed="false">
      <c r="A2" s="3" t="s">
        <v>2940</v>
      </c>
      <c r="B2" s="3"/>
      <c r="C2" s="3"/>
      <c r="D2" s="3"/>
      <c r="E2" s="3"/>
      <c r="F2" s="3"/>
    </row>
    <row r="3" customFormat="false" ht="13.5" hidden="false" customHeight="true" outlineLevel="0" collapsed="false"/>
    <row r="4" customFormat="false" ht="24" hidden="false" customHeight="true" outlineLevel="0" collapsed="false">
      <c r="A4" s="7" t="s">
        <v>1902</v>
      </c>
      <c r="B4" s="7" t="s">
        <v>2177</v>
      </c>
      <c r="C4" s="7" t="s">
        <v>844</v>
      </c>
      <c r="D4" s="7" t="s">
        <v>806</v>
      </c>
      <c r="E4" s="7" t="s">
        <v>2941</v>
      </c>
      <c r="F4" s="7" t="s">
        <v>2942</v>
      </c>
      <c r="G4" s="7" t="s">
        <v>2943</v>
      </c>
      <c r="H4" s="7" t="s">
        <v>2340</v>
      </c>
    </row>
    <row r="5" customFormat="false" ht="42" hidden="false" customHeight="true" outlineLevel="0" collapsed="false">
      <c r="A5" s="9" t="s">
        <v>2944</v>
      </c>
      <c r="B5" s="159" t="n">
        <f aca="false">Supplier_Series_Raw!B5</f>
        <v>9305</v>
      </c>
      <c r="C5" s="159" t="n">
        <f aca="false">Supplier_Series_Raw!B10</f>
        <v>9028</v>
      </c>
      <c r="D5" s="159" t="n">
        <f aca="false">Supplier_Series_Raw!B15</f>
        <v>8721</v>
      </c>
      <c r="E5" s="99" t="n">
        <f aca="false">D5/B5-1</f>
        <v>-0.0627619559376679</v>
      </c>
      <c r="F5" s="99" t="n">
        <f aca="false">D5/C5-1</f>
        <v>-0.0340053167922021</v>
      </c>
      <c r="G5" s="128" t="n">
        <f aca="false">(D5/B5)^(1/10)-1</f>
        <v>-0.00646083644631657</v>
      </c>
      <c r="H5" s="128" t="n">
        <f aca="false">(D5/C5)^(1/5)-1</f>
        <v>-0.00689550588387733</v>
      </c>
    </row>
    <row r="6" customFormat="false" ht="42" hidden="false" customHeight="true" outlineLevel="0" collapsed="false">
      <c r="A6" s="9" t="s">
        <v>2934</v>
      </c>
      <c r="B6" s="159" t="n">
        <f aca="false">Supplier_Series_Raw!C5</f>
        <v>15037862</v>
      </c>
      <c r="C6" s="159" t="n">
        <f aca="false">Supplier_Series_Raw!C10</f>
        <v>12890235</v>
      </c>
      <c r="D6" s="159" t="n">
        <f aca="false">Supplier_Series_Raw!C15</f>
        <v>9542103</v>
      </c>
      <c r="E6" s="99" t="n">
        <f aca="false">D6/B6-1</f>
        <v>-0.365461459880401</v>
      </c>
      <c r="F6" s="99" t="n">
        <f aca="false">D6/C6-1</f>
        <v>-0.259741734731756</v>
      </c>
      <c r="G6" s="128" t="n">
        <f aca="false">(D6/B6)^(1/10)-1</f>
        <v>-0.0444667575504764</v>
      </c>
      <c r="H6" s="128" t="n">
        <f aca="false">(D6/C6)^(1/5)-1</f>
        <v>-0.0583778780483274</v>
      </c>
    </row>
    <row r="7" customFormat="false" ht="42" hidden="false" customHeight="true" outlineLevel="0" collapsed="false">
      <c r="A7" s="9" t="s">
        <v>2937</v>
      </c>
      <c r="B7" s="159" t="n">
        <f aca="false">Supplier_Series_Raw!F5</f>
        <v>344</v>
      </c>
      <c r="C7" s="159" t="n">
        <f aca="false">Supplier_Series_Raw!F10</f>
        <v>336</v>
      </c>
      <c r="D7" s="159" t="n">
        <f aca="false">Supplier_Series_Raw!F15</f>
        <v>279</v>
      </c>
      <c r="E7" s="99" t="n">
        <f aca="false">D7/B7-1</f>
        <v>-0.188953488372093</v>
      </c>
      <c r="F7" s="99" t="n">
        <f aca="false">D7/C7-1</f>
        <v>-0.169642857142857</v>
      </c>
      <c r="G7" s="128" t="n">
        <f aca="false">(D7/B7)^(1/10)-1</f>
        <v>-0.0207252061719129</v>
      </c>
      <c r="H7" s="128" t="n">
        <f aca="false">(D7/C7)^(1/5)-1</f>
        <v>-0.036497190912283</v>
      </c>
    </row>
    <row r="8" customFormat="false" ht="42" hidden="false" customHeight="true" outlineLevel="0" collapsed="false">
      <c r="A8" s="9" t="s">
        <v>2945</v>
      </c>
      <c r="B8" s="159" t="n">
        <f aca="false">Supplier_Series_Raw!G5</f>
        <v>3329</v>
      </c>
      <c r="C8" s="159" t="n">
        <f aca="false">Supplier_Series_Raw!G10</f>
        <v>3075</v>
      </c>
      <c r="D8" s="159" t="n">
        <f aca="false">Supplier_Series_Raw!G15</f>
        <v>2683</v>
      </c>
      <c r="E8" s="99" t="n">
        <f aca="false">D8/B8-1</f>
        <v>-0.194052267948333</v>
      </c>
      <c r="F8" s="99" t="n">
        <f aca="false">D8/C8-1</f>
        <v>-0.127479674796748</v>
      </c>
      <c r="G8" s="128" t="n">
        <f aca="false">(D8/B8)^(1/10)-1</f>
        <v>-0.0213425922582536</v>
      </c>
      <c r="H8" s="128" t="n">
        <f aca="false">(D8/C8)^(1/5)-1</f>
        <v>-0.0269052924904558</v>
      </c>
    </row>
    <row r="9" customFormat="false" ht="42" hidden="false" customHeight="true" outlineLevel="0" collapsed="false">
      <c r="A9" s="9" t="s">
        <v>2946</v>
      </c>
      <c r="B9" s="169" t="n">
        <f aca="false">Supplier_Series_Raw!D5</f>
        <v>0.0509</v>
      </c>
      <c r="C9" s="169" t="n">
        <f aca="false">Supplier_Series_Raw!D10</f>
        <v>0.0526586206329162</v>
      </c>
      <c r="D9" s="169" t="n">
        <f aca="false">Supplier_Series_Raw!D15</f>
        <v>0.0616932163357791</v>
      </c>
      <c r="E9" s="170" t="n">
        <f aca="false">(D9-B9)*100</f>
        <v>1.07932163357791</v>
      </c>
      <c r="F9" s="170" t="n">
        <f aca="false">(D9-C9)*100</f>
        <v>0.90345957028629</v>
      </c>
      <c r="G9" s="171" t="n">
        <f aca="false">(D9-B9)*100/10</f>
        <v>0.107932163357791</v>
      </c>
      <c r="H9" s="171" t="n">
        <f aca="false">(D9-C9)*100/5</f>
        <v>0.180691914057258</v>
      </c>
    </row>
    <row r="10" customFormat="false" ht="42" hidden="false" customHeight="true" outlineLevel="0" collapsed="false">
      <c r="A10" s="9" t="s">
        <v>2947</v>
      </c>
      <c r="B10" s="169" t="n">
        <f aca="false">Supplier_Series_Raw!E5</f>
        <v>0.219</v>
      </c>
      <c r="C10" s="169" t="n">
        <f aca="false">Supplier_Series_Raw!E10</f>
        <v>0.219389885293869</v>
      </c>
      <c r="D10" s="169" t="n">
        <f aca="false">Supplier_Series_Raw!E15</f>
        <v>0.245692862283833</v>
      </c>
      <c r="E10" s="170" t="n">
        <f aca="false">(D10-B10)*100</f>
        <v>2.6692862283833</v>
      </c>
      <c r="F10" s="170" t="n">
        <f aca="false">(D10-C10)*100</f>
        <v>2.6302976989964</v>
      </c>
      <c r="G10" s="171" t="n">
        <f aca="false">(D10-B10)*100/10</f>
        <v>0.26692862283833</v>
      </c>
      <c r="H10" s="171" t="n">
        <f aca="false">(D10-C10)*100/5</f>
        <v>0.52605953979928</v>
      </c>
    </row>
    <row r="11" customFormat="false" ht="9.75" hidden="false" customHeight="true" outlineLevel="0" collapsed="false"/>
    <row r="12" customFormat="false" ht="130.5" hidden="false" customHeight="true" outlineLevel="0" collapsed="false">
      <c r="A12" s="5" t="s">
        <v>2948</v>
      </c>
      <c r="B12" s="5"/>
      <c r="C12" s="5"/>
      <c r="D12" s="5"/>
      <c r="E12" s="5"/>
      <c r="F12" s="5"/>
    </row>
    <row r="13" customFormat="false" ht="9.75" hidden="false" customHeight="true" outlineLevel="0" collapsed="false"/>
    <row r="14" customFormat="false" ht="54.75" hidden="false" customHeight="true" outlineLevel="0" collapsed="false">
      <c r="A14" s="5" t="s">
        <v>2949</v>
      </c>
      <c r="B14" s="5"/>
      <c r="C14" s="5"/>
      <c r="D14" s="5"/>
      <c r="E14" s="5"/>
      <c r="F14" s="5"/>
    </row>
  </sheetData>
  <mergeCells count="4">
    <mergeCell ref="A1:F1"/>
    <mergeCell ref="A2:F2"/>
    <mergeCell ref="A12:F12"/>
    <mergeCell ref="A14:F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4" min="2" style="1" width="15"/>
    <col collapsed="false" customWidth="true" hidden="false" outlineLevel="0" max="6" min="5" style="1" width="13"/>
  </cols>
  <sheetData>
    <row r="1" customFormat="false" ht="24" hidden="false" customHeight="true" outlineLevel="0" collapsed="false">
      <c r="A1" s="14" t="s">
        <v>2950</v>
      </c>
      <c r="B1" s="14"/>
      <c r="C1" s="14"/>
      <c r="D1" s="14"/>
      <c r="E1" s="14"/>
      <c r="F1" s="14"/>
    </row>
    <row r="2" customFormat="false" ht="54.75" hidden="false" customHeight="true" outlineLevel="0" collapsed="false">
      <c r="A2" s="3" t="s">
        <v>2951</v>
      </c>
      <c r="B2" s="3"/>
      <c r="C2" s="3"/>
      <c r="D2" s="3"/>
      <c r="E2" s="3"/>
      <c r="F2" s="3"/>
    </row>
    <row r="3" customFormat="false" ht="13.5" hidden="false" customHeight="true" outlineLevel="0" collapsed="false"/>
    <row r="4" customFormat="false" ht="19.5" hidden="false" customHeight="true" outlineLevel="0" collapsed="false">
      <c r="A4" s="15" t="s">
        <v>2952</v>
      </c>
      <c r="B4" s="15"/>
      <c r="C4" s="15"/>
      <c r="D4" s="15"/>
      <c r="E4" s="15"/>
      <c r="F4" s="15"/>
    </row>
    <row r="5" customFormat="false" ht="33.75" hidden="false" customHeight="true" outlineLevel="0" collapsed="false">
      <c r="A5" s="7" t="s">
        <v>1902</v>
      </c>
      <c r="B5" s="7" t="s">
        <v>2953</v>
      </c>
      <c r="C5" s="7" t="s">
        <v>2954</v>
      </c>
      <c r="D5" s="7" t="s">
        <v>2955</v>
      </c>
      <c r="E5" s="7" t="s">
        <v>2956</v>
      </c>
      <c r="F5" s="7" t="s">
        <v>2957</v>
      </c>
    </row>
    <row r="6" customFormat="false" ht="15" hidden="false" customHeight="true" outlineLevel="0" collapsed="false">
      <c r="A6" s="9" t="s">
        <v>2958</v>
      </c>
      <c r="B6" s="98" t="n">
        <v>260600</v>
      </c>
      <c r="C6" s="98" t="n">
        <v>181000</v>
      </c>
      <c r="D6" s="98" t="n">
        <v>101900</v>
      </c>
      <c r="E6" s="105" t="n">
        <f aca="false">C6+D6</f>
        <v>282900</v>
      </c>
      <c r="F6" s="144" t="n">
        <f aca="false">E6/B6-1</f>
        <v>0.0855717574827322</v>
      </c>
    </row>
    <row r="7" customFormat="false" ht="15" hidden="false" customHeight="true" outlineLevel="0" collapsed="false">
      <c r="A7" s="9" t="s">
        <v>2959</v>
      </c>
      <c r="B7" s="100" t="n">
        <v>35400</v>
      </c>
      <c r="C7" s="100" t="n">
        <v>41340</v>
      </c>
      <c r="D7" s="100" t="n">
        <v>58410</v>
      </c>
      <c r="E7" s="109"/>
      <c r="F7" s="144" t="n">
        <f aca="false">C7/B7-1</f>
        <v>0.167796610169491</v>
      </c>
    </row>
    <row r="8" customFormat="false" ht="16.5" hidden="false" customHeight="true" outlineLevel="0" collapsed="false">
      <c r="A8" s="9" t="s">
        <v>2960</v>
      </c>
      <c r="B8" s="9" t="s">
        <v>2961</v>
      </c>
      <c r="C8" s="9" t="s">
        <v>2962</v>
      </c>
      <c r="D8" s="9" t="s">
        <v>2963</v>
      </c>
    </row>
    <row r="9" customFormat="false" ht="15" hidden="false" customHeight="true" outlineLevel="0" collapsed="false">
      <c r="A9" s="9" t="s">
        <v>2964</v>
      </c>
      <c r="B9" s="100" t="n">
        <v>38830</v>
      </c>
    </row>
    <row r="10" customFormat="false" ht="9.75" hidden="false" customHeight="true" outlineLevel="0" collapsed="false"/>
    <row r="11" customFormat="false" ht="93" hidden="false" customHeight="true" outlineLevel="0" collapsed="false">
      <c r="A11" s="5" t="s">
        <v>2965</v>
      </c>
      <c r="B11" s="5"/>
      <c r="C11" s="5"/>
      <c r="D11" s="5"/>
      <c r="E11" s="5"/>
      <c r="F11" s="5"/>
    </row>
    <row r="12" customFormat="false" ht="9.75" hidden="false" customHeight="true" outlineLevel="0" collapsed="false"/>
    <row r="13" customFormat="false" ht="19.5" hidden="false" customHeight="true" outlineLevel="0" collapsed="false">
      <c r="A13" s="15" t="s">
        <v>2966</v>
      </c>
      <c r="B13" s="15"/>
      <c r="C13" s="15"/>
      <c r="D13" s="15"/>
      <c r="E13" s="15"/>
      <c r="F13" s="15"/>
    </row>
    <row r="14" customFormat="false" ht="24" hidden="false" customHeight="true" outlineLevel="0" collapsed="false">
      <c r="A14" s="7" t="s">
        <v>2628</v>
      </c>
      <c r="B14" s="7" t="s">
        <v>581</v>
      </c>
      <c r="C14" s="7" t="s">
        <v>725</v>
      </c>
    </row>
    <row r="15" customFormat="false" ht="67.5" hidden="false" customHeight="true" outlineLevel="0" collapsed="false">
      <c r="A15" s="9" t="s">
        <v>2967</v>
      </c>
      <c r="B15" s="99" t="n">
        <f aca="false">C7/B7-1</f>
        <v>0.167796610169491</v>
      </c>
      <c r="C15" s="9" t="s">
        <v>2968</v>
      </c>
    </row>
    <row r="16" customFormat="false" ht="117.75" hidden="false" customHeight="true" outlineLevel="0" collapsed="false">
      <c r="A16" s="9" t="s">
        <v>2969</v>
      </c>
      <c r="B16" s="132" t="n">
        <f aca="false">1.009*1.002*1.051*1.087*1.026-1</f>
        <v>0.185055004508516</v>
      </c>
      <c r="C16" s="9" t="s">
        <v>2970</v>
      </c>
    </row>
    <row r="17" customFormat="false" ht="79.5" hidden="false" customHeight="true" outlineLevel="0" collapsed="false">
      <c r="A17" s="9" t="s">
        <v>2971</v>
      </c>
      <c r="B17" s="172" t="n">
        <f aca="false">(B16-B15)*100</f>
        <v>1.72583943390245</v>
      </c>
      <c r="C17" s="9" t="s">
        <v>2972</v>
      </c>
    </row>
    <row r="18" customFormat="false" ht="9.75" hidden="false" customHeight="true" outlineLevel="0" collapsed="false"/>
    <row r="19" customFormat="false" ht="105" hidden="false" customHeight="true" outlineLevel="0" collapsed="false">
      <c r="A19" s="5" t="s">
        <v>2973</v>
      </c>
      <c r="B19" s="5"/>
      <c r="C19" s="5"/>
      <c r="D19" s="5"/>
      <c r="E19" s="5"/>
      <c r="F19" s="5"/>
    </row>
    <row r="20" customFormat="false" ht="9.75" hidden="false" customHeight="true" outlineLevel="0" collapsed="false"/>
    <row r="21" customFormat="false" ht="19.5" hidden="false" customHeight="true" outlineLevel="0" collapsed="false">
      <c r="A21" s="15" t="s">
        <v>2974</v>
      </c>
      <c r="B21" s="15"/>
      <c r="C21" s="15"/>
      <c r="D21" s="15"/>
      <c r="E21" s="15"/>
      <c r="F21" s="15"/>
    </row>
    <row r="22" customFormat="false" ht="79.5" hidden="false" customHeight="true" outlineLevel="0" collapsed="false">
      <c r="A22" s="5" t="s">
        <v>2975</v>
      </c>
      <c r="B22" s="5"/>
      <c r="C22" s="5"/>
      <c r="D22" s="5"/>
      <c r="E22" s="5"/>
      <c r="F22" s="5"/>
    </row>
    <row r="23" customFormat="false" ht="9.75" hidden="false" customHeight="true" outlineLevel="0" collapsed="false"/>
    <row r="24" customFormat="false" ht="30" hidden="false" customHeight="true" outlineLevel="0" collapsed="false">
      <c r="A24" s="15" t="s">
        <v>2976</v>
      </c>
      <c r="B24" s="15"/>
      <c r="C24" s="15"/>
      <c r="D24" s="15"/>
      <c r="E24" s="15"/>
      <c r="F24" s="15"/>
    </row>
    <row r="25" customFormat="false" ht="24" hidden="false" customHeight="true" outlineLevel="0" collapsed="false">
      <c r="A25" s="7" t="s">
        <v>1970</v>
      </c>
      <c r="B25" s="7" t="s">
        <v>2958</v>
      </c>
      <c r="C25" s="7" t="s">
        <v>2977</v>
      </c>
      <c r="D25" s="7" t="s">
        <v>2964</v>
      </c>
    </row>
    <row r="26" customFormat="false" ht="15" hidden="false" customHeight="true" outlineLevel="0" collapsed="false">
      <c r="A26" s="9" t="s">
        <v>2857</v>
      </c>
      <c r="B26" s="98" t="n">
        <v>21990</v>
      </c>
      <c r="C26" s="103" t="n">
        <v>1.26</v>
      </c>
      <c r="D26" s="100" t="n">
        <v>43680</v>
      </c>
    </row>
    <row r="27" customFormat="false" ht="15" hidden="false" customHeight="true" outlineLevel="0" collapsed="false">
      <c r="A27" s="9" t="s">
        <v>2978</v>
      </c>
      <c r="B27" s="98" t="n">
        <v>19380</v>
      </c>
      <c r="C27" s="103" t="n">
        <v>1.56</v>
      </c>
      <c r="D27" s="100" t="n">
        <v>37000</v>
      </c>
    </row>
    <row r="28" customFormat="false" ht="15" hidden="false" customHeight="true" outlineLevel="0" collapsed="false">
      <c r="A28" s="9" t="s">
        <v>2979</v>
      </c>
      <c r="B28" s="98" t="n">
        <v>18610</v>
      </c>
      <c r="C28" s="103" t="n">
        <v>1.95</v>
      </c>
      <c r="D28" s="100" t="n">
        <v>44920</v>
      </c>
    </row>
    <row r="29" customFormat="false" ht="15" hidden="false" customHeight="true" outlineLevel="0" collapsed="false">
      <c r="A29" s="9" t="s">
        <v>2980</v>
      </c>
      <c r="B29" s="98" t="n">
        <v>13890</v>
      </c>
      <c r="C29" s="103" t="n">
        <v>2.35</v>
      </c>
      <c r="D29" s="100" t="n">
        <v>34310</v>
      </c>
    </row>
    <row r="30" customFormat="false" ht="15" hidden="false" customHeight="true" outlineLevel="0" collapsed="false">
      <c r="A30" s="9" t="s">
        <v>2861</v>
      </c>
      <c r="B30" s="98" t="n">
        <v>11790</v>
      </c>
      <c r="C30" s="103" t="n">
        <v>1.34</v>
      </c>
      <c r="D30" s="100" t="n">
        <v>36190</v>
      </c>
    </row>
    <row r="31" customFormat="false" ht="30" hidden="false" customHeight="true" outlineLevel="0" collapsed="false">
      <c r="A31" s="9" t="s">
        <v>2981</v>
      </c>
      <c r="B31" s="98" t="n">
        <v>2260</v>
      </c>
      <c r="C31" s="103" t="n">
        <v>3.22</v>
      </c>
      <c r="D31" s="100" t="n">
        <v>29920</v>
      </c>
    </row>
    <row r="32" customFormat="false" ht="16.5" hidden="false" customHeight="true" outlineLevel="0" collapsed="false">
      <c r="A32" s="9" t="s">
        <v>2982</v>
      </c>
      <c r="B32" s="98" t="n">
        <v>590</v>
      </c>
      <c r="C32" s="103" t="n">
        <v>0.94</v>
      </c>
      <c r="D32" s="100" t="n">
        <v>56610</v>
      </c>
    </row>
    <row r="33" customFormat="false" ht="15" hidden="false" customHeight="true" outlineLevel="0" collapsed="false">
      <c r="A33" s="9" t="s">
        <v>2983</v>
      </c>
      <c r="B33" s="98" t="n">
        <v>3760</v>
      </c>
      <c r="C33" s="103" t="n">
        <v>1.13</v>
      </c>
      <c r="D33" s="100" t="n">
        <v>56140</v>
      </c>
    </row>
    <row r="34" customFormat="false" ht="54.75" hidden="false" customHeight="true" outlineLevel="0" collapsed="false">
      <c r="A34" s="5" t="s">
        <v>2984</v>
      </c>
      <c r="B34" s="5"/>
      <c r="C34" s="5"/>
      <c r="D34" s="5"/>
      <c r="E34" s="5"/>
      <c r="F34" s="5"/>
    </row>
    <row r="35" customFormat="false" ht="9.75" hidden="false" customHeight="true" outlineLevel="0" collapsed="false"/>
    <row r="36" customFormat="false" ht="19.5" hidden="false" customHeight="true" outlineLevel="0" collapsed="false">
      <c r="A36" s="15" t="s">
        <v>2985</v>
      </c>
      <c r="B36" s="15"/>
      <c r="C36" s="15"/>
      <c r="D36" s="15"/>
      <c r="E36" s="15"/>
      <c r="F36" s="15"/>
    </row>
    <row r="37" customFormat="false" ht="156" hidden="false" customHeight="true" outlineLevel="0" collapsed="false">
      <c r="A37" s="5" t="s">
        <v>2986</v>
      </c>
      <c r="B37" s="5"/>
      <c r="C37" s="5"/>
      <c r="D37" s="5"/>
      <c r="E37" s="5"/>
      <c r="F37" s="5"/>
    </row>
    <row r="39" customFormat="false" ht="18" hidden="false" customHeight="true" outlineLevel="0" collapsed="false">
      <c r="A39" s="127" t="s">
        <v>2111</v>
      </c>
      <c r="B39" s="127"/>
      <c r="C39" s="127"/>
      <c r="D39" s="127"/>
      <c r="E39" s="127"/>
      <c r="F39" s="127"/>
    </row>
    <row r="40" customFormat="false" ht="15.75" hidden="false" customHeight="true" outlineLevel="0" collapsed="false">
      <c r="A40" s="9" t="s">
        <v>2987</v>
      </c>
      <c r="B40" s="128" t="n">
        <f aca="false">(E6/B6)^(1/5)-1</f>
        <v>0.0165569343739966</v>
      </c>
    </row>
    <row r="41" customFormat="false" ht="15.75" hidden="false" customHeight="true" outlineLevel="0" collapsed="false">
      <c r="A41" s="9" t="s">
        <v>2988</v>
      </c>
      <c r="B41" s="128" t="n">
        <f aca="false">(C7/B7)^(1/5)-1</f>
        <v>0.0315099986808178</v>
      </c>
    </row>
    <row r="42" customFormat="false" ht="15.75" hidden="false" customHeight="true" outlineLevel="0" collapsed="false">
      <c r="A42" s="9" t="s">
        <v>2989</v>
      </c>
      <c r="B42" s="128" t="n">
        <f aca="false">(1.009*1.002*1.051*1.087*1.026)^(1/5)-1</f>
        <v>0.0345409876604357</v>
      </c>
    </row>
    <row r="43" customFormat="false" ht="30" hidden="false" customHeight="true" outlineLevel="0" collapsed="false">
      <c r="A43" s="3" t="s">
        <v>2990</v>
      </c>
      <c r="B43" s="3"/>
      <c r="C43" s="3"/>
      <c r="D43" s="3"/>
      <c r="E43" s="3"/>
      <c r="F43" s="3"/>
    </row>
  </sheetData>
  <mergeCells count="14">
    <mergeCell ref="A1:F1"/>
    <mergeCell ref="A2:F2"/>
    <mergeCell ref="A4:F4"/>
    <mergeCell ref="A11:F11"/>
    <mergeCell ref="A13:F13"/>
    <mergeCell ref="A19:F19"/>
    <mergeCell ref="A21:F21"/>
    <mergeCell ref="A22:F22"/>
    <mergeCell ref="A24:F24"/>
    <mergeCell ref="A34:F34"/>
    <mergeCell ref="A36:F36"/>
    <mergeCell ref="A37:F37"/>
    <mergeCell ref="A39:F39"/>
    <mergeCell ref="A43:F4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36"/>
    <col collapsed="false" customWidth="true" hidden="false" outlineLevel="0" max="3" min="3" style="1" width="38"/>
    <col collapsed="false" customWidth="true" hidden="false" outlineLevel="0" max="4" min="4" style="1" width="10"/>
    <col collapsed="false" customWidth="true" hidden="false" outlineLevel="0" max="5" min="5" style="1" width="24"/>
  </cols>
  <sheetData>
    <row r="1" customFormat="false" ht="24" hidden="false" customHeight="true" outlineLevel="0" collapsed="false">
      <c r="A1" s="14" t="s">
        <v>2991</v>
      </c>
      <c r="B1" s="14"/>
      <c r="C1" s="14"/>
      <c r="D1" s="14"/>
      <c r="E1" s="14"/>
    </row>
    <row r="2" customFormat="false" ht="42" hidden="false" customHeight="true" outlineLevel="0" collapsed="false">
      <c r="A2" s="3" t="s">
        <v>2992</v>
      </c>
      <c r="B2" s="3"/>
      <c r="C2" s="3"/>
      <c r="D2" s="3"/>
      <c r="E2" s="3"/>
    </row>
    <row r="3" customFormat="false" ht="13.5" hidden="false" customHeight="true" outlineLevel="0" collapsed="false"/>
    <row r="4" customFormat="false" ht="24" hidden="false" customHeight="true" outlineLevel="0" collapsed="false">
      <c r="A4" s="7" t="s">
        <v>2115</v>
      </c>
      <c r="B4" s="7" t="s">
        <v>2116</v>
      </c>
      <c r="C4" s="7" t="s">
        <v>2117</v>
      </c>
      <c r="D4" s="7" t="s">
        <v>1904</v>
      </c>
      <c r="E4" s="7" t="s">
        <v>729</v>
      </c>
    </row>
    <row r="5" customFormat="false" ht="30" hidden="false" customHeight="true" outlineLevel="0" collapsed="false">
      <c r="A5" s="8" t="s">
        <v>2993</v>
      </c>
      <c r="B5" s="9" t="s">
        <v>2994</v>
      </c>
      <c r="C5" s="9" t="s">
        <v>2995</v>
      </c>
      <c r="D5" s="9" t="s">
        <v>447</v>
      </c>
      <c r="E5" s="9" t="s">
        <v>1343</v>
      </c>
    </row>
    <row r="6" customFormat="false" ht="42" hidden="false" customHeight="true" outlineLevel="0" collapsed="false">
      <c r="A6" s="8" t="s">
        <v>2996</v>
      </c>
      <c r="B6" s="9" t="s">
        <v>2997</v>
      </c>
      <c r="C6" s="9" t="s">
        <v>2998</v>
      </c>
      <c r="D6" s="9" t="s">
        <v>2999</v>
      </c>
      <c r="E6" s="9" t="s">
        <v>3000</v>
      </c>
    </row>
    <row r="7" customFormat="false" ht="30" hidden="false" customHeight="true" outlineLevel="0" collapsed="false">
      <c r="A7" s="8" t="s">
        <v>3001</v>
      </c>
      <c r="B7" s="9" t="s">
        <v>3002</v>
      </c>
      <c r="C7" s="9" t="s">
        <v>3003</v>
      </c>
      <c r="D7" s="9" t="s">
        <v>3004</v>
      </c>
      <c r="E7" s="9" t="s">
        <v>1370</v>
      </c>
    </row>
    <row r="8" customFormat="false" ht="54.75" hidden="false" customHeight="true" outlineLevel="0" collapsed="false">
      <c r="A8" s="8" t="s">
        <v>3005</v>
      </c>
      <c r="B8" s="9" t="s">
        <v>3006</v>
      </c>
      <c r="C8" s="9" t="s">
        <v>3007</v>
      </c>
      <c r="D8" s="9" t="s">
        <v>1374</v>
      </c>
      <c r="E8" s="9" t="s">
        <v>3008</v>
      </c>
    </row>
    <row r="9" customFormat="false" ht="54.75" hidden="false" customHeight="true" outlineLevel="0" collapsed="false">
      <c r="A9" s="8" t="s">
        <v>3009</v>
      </c>
      <c r="B9" s="9" t="s">
        <v>3010</v>
      </c>
      <c r="C9" s="9" t="s">
        <v>3011</v>
      </c>
      <c r="D9" s="9" t="s">
        <v>1381</v>
      </c>
      <c r="E9" s="9" t="s">
        <v>3012</v>
      </c>
    </row>
    <row r="10" customFormat="false" ht="42" hidden="false" customHeight="true" outlineLevel="0" collapsed="false">
      <c r="A10" s="8" t="s">
        <v>3013</v>
      </c>
      <c r="B10" s="9" t="s">
        <v>3014</v>
      </c>
      <c r="C10" s="9" t="s">
        <v>3015</v>
      </c>
      <c r="D10" s="9" t="s">
        <v>1390</v>
      </c>
      <c r="E10" s="9" t="s">
        <v>3016</v>
      </c>
    </row>
    <row r="11" customFormat="false" ht="54.75" hidden="false" customHeight="true" outlineLevel="0" collapsed="false">
      <c r="A11" s="8" t="s">
        <v>3017</v>
      </c>
      <c r="B11" s="9" t="s">
        <v>3018</v>
      </c>
      <c r="C11" s="9" t="s">
        <v>3019</v>
      </c>
      <c r="D11" s="9" t="s">
        <v>3020</v>
      </c>
      <c r="E11" s="9" t="s">
        <v>124</v>
      </c>
    </row>
    <row r="12" customFormat="false" ht="42" hidden="false" customHeight="true" outlineLevel="0" collapsed="false">
      <c r="A12" s="8" t="s">
        <v>3021</v>
      </c>
      <c r="B12" s="9" t="s">
        <v>3022</v>
      </c>
      <c r="C12" s="9" t="s">
        <v>3023</v>
      </c>
      <c r="D12" s="9" t="s">
        <v>1334</v>
      </c>
      <c r="E12" s="9" t="s">
        <v>132</v>
      </c>
    </row>
    <row r="13" customFormat="false" ht="42" hidden="false" customHeight="true" outlineLevel="0" collapsed="false">
      <c r="A13" s="8" t="s">
        <v>3024</v>
      </c>
      <c r="B13" s="9" t="s">
        <v>3025</v>
      </c>
      <c r="C13" s="9" t="s">
        <v>3026</v>
      </c>
      <c r="D13" s="9" t="s">
        <v>3027</v>
      </c>
      <c r="E13" s="9" t="s">
        <v>144</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8"/>
    <col collapsed="false" customWidth="true" hidden="false" outlineLevel="0" max="3" min="3" style="1" width="12"/>
    <col collapsed="false" customWidth="true" hidden="false" outlineLevel="0" max="5" min="4" style="1" width="16"/>
    <col collapsed="false" customWidth="true" hidden="false" outlineLevel="0" max="7" min="6" style="1" width="14"/>
    <col collapsed="false" customWidth="true" hidden="false" outlineLevel="0" max="8" min="8" style="1" width="18"/>
  </cols>
  <sheetData>
    <row r="1" customFormat="false" ht="24" hidden="false" customHeight="true" outlineLevel="0" collapsed="false">
      <c r="A1" s="14" t="s">
        <v>3028</v>
      </c>
      <c r="B1" s="14"/>
      <c r="C1" s="14"/>
      <c r="D1" s="14"/>
      <c r="E1" s="14"/>
      <c r="F1" s="14"/>
      <c r="G1" s="14"/>
      <c r="H1" s="14"/>
    </row>
    <row r="2" customFormat="false" ht="42" hidden="false" customHeight="true" outlineLevel="0" collapsed="false">
      <c r="A2" s="3" t="s">
        <v>3029</v>
      </c>
      <c r="B2" s="3"/>
      <c r="C2" s="3"/>
      <c r="D2" s="3"/>
      <c r="E2" s="3"/>
      <c r="F2" s="3"/>
      <c r="G2" s="3"/>
      <c r="H2" s="3"/>
    </row>
    <row r="3" customFormat="false" ht="13.5" hidden="false" customHeight="true" outlineLevel="0" collapsed="false"/>
    <row r="4" customFormat="false" ht="33.75" hidden="false" customHeight="true" outlineLevel="0" collapsed="false">
      <c r="A4" s="7" t="s">
        <v>1970</v>
      </c>
      <c r="B4" s="7" t="s">
        <v>3030</v>
      </c>
      <c r="C4" s="7" t="s">
        <v>3031</v>
      </c>
      <c r="D4" s="7" t="s">
        <v>3032</v>
      </c>
      <c r="E4" s="7" t="s">
        <v>3033</v>
      </c>
      <c r="F4" s="7" t="s">
        <v>3034</v>
      </c>
      <c r="G4" s="7" t="s">
        <v>3035</v>
      </c>
      <c r="H4" s="7" t="s">
        <v>3036</v>
      </c>
    </row>
    <row r="5" customFormat="false" ht="15" hidden="false" customHeight="true" outlineLevel="0" collapsed="false">
      <c r="A5" s="124" t="s">
        <v>3037</v>
      </c>
      <c r="B5" s="98" t="n">
        <v>23726</v>
      </c>
      <c r="C5" s="98" t="n">
        <v>35</v>
      </c>
      <c r="D5" s="98" t="n">
        <v>118142</v>
      </c>
      <c r="E5" s="98" t="n">
        <v>100609</v>
      </c>
      <c r="F5" s="98" t="n">
        <v>3105</v>
      </c>
      <c r="G5" s="98" t="n">
        <v>86087</v>
      </c>
      <c r="H5" s="98" t="n">
        <v>23996</v>
      </c>
    </row>
    <row r="6" customFormat="false" ht="15" hidden="false" customHeight="true" outlineLevel="0" collapsed="false">
      <c r="A6" s="124" t="s">
        <v>3038</v>
      </c>
      <c r="B6" s="98" t="n">
        <v>155660</v>
      </c>
      <c r="C6" s="98" t="n">
        <v>121</v>
      </c>
      <c r="D6" s="98" t="n">
        <v>1118502</v>
      </c>
      <c r="E6" s="98" t="n">
        <v>368132</v>
      </c>
      <c r="F6" s="98" t="n">
        <v>664514</v>
      </c>
      <c r="G6" s="98" t="n">
        <v>527404</v>
      </c>
      <c r="H6" s="98" t="n">
        <v>156280</v>
      </c>
    </row>
    <row r="7" customFormat="false" ht="15" hidden="false" customHeight="true" outlineLevel="0" collapsed="false">
      <c r="A7" s="124" t="s">
        <v>3039</v>
      </c>
      <c r="B7" s="98" t="n">
        <v>104509</v>
      </c>
      <c r="C7" s="98" t="n">
        <v>58</v>
      </c>
      <c r="D7" s="98" t="n">
        <v>679039</v>
      </c>
      <c r="E7" s="98" t="n">
        <v>325200</v>
      </c>
      <c r="F7" s="98" t="n">
        <v>305830</v>
      </c>
      <c r="G7" s="98" t="n">
        <v>421607</v>
      </c>
      <c r="H7" s="98" t="n">
        <v>104721</v>
      </c>
    </row>
    <row r="8" customFormat="false" ht="15" hidden="false" customHeight="true" outlineLevel="0" collapsed="false">
      <c r="A8" s="124" t="s">
        <v>3040</v>
      </c>
      <c r="B8" s="98" t="n">
        <v>131570</v>
      </c>
      <c r="C8" s="98" t="n">
        <v>104</v>
      </c>
      <c r="D8" s="98" t="n">
        <v>1500194</v>
      </c>
      <c r="E8" s="98" t="n">
        <v>620921</v>
      </c>
      <c r="F8" s="98" t="n">
        <v>754878</v>
      </c>
      <c r="G8" s="98" t="n">
        <v>676347</v>
      </c>
      <c r="H8" s="98" t="n">
        <v>131941</v>
      </c>
    </row>
    <row r="9" customFormat="false" ht="15" hidden="false" customHeight="true" outlineLevel="0" collapsed="false">
      <c r="A9" s="124" t="s">
        <v>2924</v>
      </c>
      <c r="B9" s="98" t="n">
        <v>903726</v>
      </c>
      <c r="C9" s="98" t="n">
        <v>250</v>
      </c>
      <c r="D9" s="98" t="n">
        <v>6938292</v>
      </c>
      <c r="E9" s="98" t="n">
        <v>2690755</v>
      </c>
      <c r="F9" s="98" t="n">
        <v>3518505</v>
      </c>
      <c r="G9" s="98" t="n">
        <v>2838701</v>
      </c>
      <c r="H9" s="98" t="n">
        <v>904578</v>
      </c>
    </row>
    <row r="10" customFormat="false" ht="15" hidden="false" customHeight="true" outlineLevel="0" collapsed="false">
      <c r="A10" s="124" t="s">
        <v>3041</v>
      </c>
      <c r="B10" s="98" t="n">
        <v>90572</v>
      </c>
      <c r="C10" s="98" t="n">
        <v>147</v>
      </c>
      <c r="D10" s="98" t="n">
        <v>1037114</v>
      </c>
      <c r="E10" s="98" t="n">
        <v>404670</v>
      </c>
      <c r="F10" s="98" t="n">
        <v>540532</v>
      </c>
      <c r="G10" s="98" t="n">
        <v>443997</v>
      </c>
      <c r="H10" s="98" t="n">
        <v>91639</v>
      </c>
    </row>
    <row r="11" customFormat="false" ht="15" hidden="false" customHeight="true" outlineLevel="0" collapsed="false">
      <c r="A11" s="124" t="s">
        <v>3042</v>
      </c>
      <c r="B11" s="98" t="n">
        <v>149074</v>
      </c>
      <c r="C11" s="98" t="n">
        <v>135</v>
      </c>
      <c r="D11" s="98" t="n">
        <v>743293</v>
      </c>
      <c r="E11" s="98" t="n">
        <v>255046</v>
      </c>
      <c r="F11" s="98" t="n">
        <v>417999</v>
      </c>
      <c r="G11" s="98" t="n">
        <v>329231</v>
      </c>
      <c r="H11" s="98" t="n">
        <v>149362</v>
      </c>
    </row>
    <row r="12" customFormat="false" ht="15" hidden="false" customHeight="true" outlineLevel="0" collapsed="false">
      <c r="A12" s="124" t="s">
        <v>1974</v>
      </c>
      <c r="B12" s="98" t="n">
        <v>12006</v>
      </c>
      <c r="C12" s="98" t="n">
        <v>3</v>
      </c>
      <c r="D12" s="98" t="n">
        <v>96300</v>
      </c>
      <c r="E12" s="98" t="n">
        <v>48316</v>
      </c>
      <c r="F12" s="98" t="n">
        <v>31806</v>
      </c>
      <c r="G12" s="98" t="n">
        <v>58666</v>
      </c>
      <c r="H12" s="98" t="n">
        <v>12015</v>
      </c>
    </row>
    <row r="13" customFormat="false" ht="15" hidden="false" customHeight="true" outlineLevel="0" collapsed="false">
      <c r="A13" s="124" t="s">
        <v>3043</v>
      </c>
      <c r="B13" s="98" t="n">
        <v>41250</v>
      </c>
      <c r="C13" s="98" t="n">
        <v>61</v>
      </c>
      <c r="D13" s="98" t="n">
        <v>245324</v>
      </c>
      <c r="E13" s="98" t="n">
        <v>147586</v>
      </c>
      <c r="F13" s="98" t="n">
        <v>78252</v>
      </c>
      <c r="G13" s="98" t="n">
        <v>158489</v>
      </c>
      <c r="H13" s="98" t="n">
        <v>41266</v>
      </c>
    </row>
    <row r="14" customFormat="false" ht="15" hidden="false" customHeight="true" outlineLevel="0" collapsed="false">
      <c r="A14" s="124" t="s">
        <v>2919</v>
      </c>
      <c r="B14" s="98" t="n">
        <v>635028</v>
      </c>
      <c r="C14" s="98" t="n">
        <v>176</v>
      </c>
      <c r="D14" s="98" t="n">
        <v>5136024</v>
      </c>
      <c r="E14" s="98" t="n">
        <v>1915608</v>
      </c>
      <c r="F14" s="98" t="n">
        <v>2883497</v>
      </c>
      <c r="G14" s="98" t="n">
        <v>2161617</v>
      </c>
      <c r="H14" s="98" t="n">
        <v>635596</v>
      </c>
    </row>
    <row r="15" customFormat="false" ht="15" hidden="false" customHeight="true" outlineLevel="0" collapsed="false">
      <c r="A15" s="124" t="s">
        <v>3044</v>
      </c>
      <c r="B15" s="98" t="n">
        <v>390225</v>
      </c>
      <c r="C15" s="98" t="n">
        <v>226</v>
      </c>
      <c r="D15" s="98" t="n">
        <v>1945979</v>
      </c>
      <c r="E15" s="98" t="n">
        <v>714723</v>
      </c>
      <c r="F15" s="98" t="n">
        <v>1067313</v>
      </c>
      <c r="G15" s="98" t="n">
        <v>895548</v>
      </c>
      <c r="H15" s="98" t="n">
        <v>409696</v>
      </c>
    </row>
    <row r="16" customFormat="false" ht="15" hidden="false" customHeight="true" outlineLevel="0" collapsed="false">
      <c r="A16" s="124" t="s">
        <v>3045</v>
      </c>
      <c r="B16" s="98" t="n">
        <v>5866</v>
      </c>
      <c r="C16" s="98" t="n">
        <v>3</v>
      </c>
      <c r="D16" s="98" t="n">
        <v>19942</v>
      </c>
      <c r="E16" s="98" t="n">
        <v>13320</v>
      </c>
      <c r="F16" s="98" t="n">
        <v>235</v>
      </c>
      <c r="G16" s="98" t="n">
        <v>11442</v>
      </c>
      <c r="H16" s="98" t="n">
        <v>5877</v>
      </c>
    </row>
    <row r="17" customFormat="false" ht="15" hidden="false" customHeight="true" outlineLevel="0" collapsed="false">
      <c r="A17" s="124" t="s">
        <v>2694</v>
      </c>
      <c r="B17" s="98" t="n">
        <v>17281</v>
      </c>
      <c r="C17" s="98" t="n">
        <v>3</v>
      </c>
      <c r="D17" s="98" t="n">
        <v>306503</v>
      </c>
      <c r="E17" s="98" t="n">
        <v>101561</v>
      </c>
      <c r="F17" s="98" t="n">
        <v>163990</v>
      </c>
      <c r="G17" s="98" t="n">
        <v>110267</v>
      </c>
      <c r="H17" s="98" t="n">
        <v>17282</v>
      </c>
    </row>
    <row r="18" customFormat="false" ht="15" hidden="false" customHeight="true" outlineLevel="0" collapsed="false">
      <c r="A18" s="124" t="s">
        <v>3046</v>
      </c>
      <c r="B18" s="98" t="n">
        <v>61380</v>
      </c>
      <c r="C18" s="98" t="n">
        <v>195</v>
      </c>
      <c r="D18" s="98" t="n">
        <v>686102</v>
      </c>
      <c r="E18" s="98" t="n">
        <v>385740</v>
      </c>
      <c r="F18" s="98" t="n">
        <v>254648</v>
      </c>
      <c r="G18" s="98" t="n">
        <v>439832</v>
      </c>
      <c r="H18" s="98" t="n">
        <v>63038</v>
      </c>
    </row>
    <row r="19" customFormat="false" ht="15" hidden="false" customHeight="true" outlineLevel="0" collapsed="false">
      <c r="A19" s="124" t="s">
        <v>1651</v>
      </c>
      <c r="B19" s="98" t="n">
        <v>29190</v>
      </c>
      <c r="C19" s="98" t="n">
        <v>63</v>
      </c>
      <c r="D19" s="98" t="n">
        <v>394620</v>
      </c>
      <c r="E19" s="98" t="n">
        <v>175499</v>
      </c>
      <c r="F19" s="98" t="n">
        <v>191874</v>
      </c>
      <c r="G19" s="98" t="n">
        <v>195658</v>
      </c>
      <c r="H19" s="98" t="n">
        <v>29630</v>
      </c>
    </row>
    <row r="20" customFormat="false" ht="15" hidden="false" customHeight="true" outlineLevel="0" collapsed="false">
      <c r="A20" s="124" t="s">
        <v>2917</v>
      </c>
      <c r="B20" s="98" t="n">
        <v>461836</v>
      </c>
      <c r="C20" s="98" t="n">
        <v>498</v>
      </c>
      <c r="D20" s="98" t="n">
        <v>2407750</v>
      </c>
      <c r="E20" s="98" t="n">
        <v>1150756</v>
      </c>
      <c r="F20" s="98" t="n">
        <v>1030719</v>
      </c>
      <c r="G20" s="98" t="n">
        <v>1407750</v>
      </c>
      <c r="H20" s="98" t="n">
        <v>464393</v>
      </c>
    </row>
    <row r="21" customFormat="false" ht="15" hidden="false" customHeight="true" outlineLevel="0" collapsed="false">
      <c r="A21" s="124" t="s">
        <v>3047</v>
      </c>
      <c r="B21" s="98" t="n">
        <v>158172</v>
      </c>
      <c r="C21" s="98" t="n">
        <v>213</v>
      </c>
      <c r="D21" s="98" t="n">
        <v>1377619</v>
      </c>
      <c r="E21" s="98" t="n">
        <v>602320</v>
      </c>
      <c r="F21" s="98" t="n">
        <v>678624</v>
      </c>
      <c r="G21" s="98" t="n">
        <v>764228</v>
      </c>
      <c r="H21" s="98" t="n">
        <v>159067</v>
      </c>
    </row>
    <row r="22" customFormat="false" ht="15" hidden="false" customHeight="true" outlineLevel="0" collapsed="false">
      <c r="A22" s="124" t="s">
        <v>3048</v>
      </c>
      <c r="B22" s="98" t="n">
        <v>71442</v>
      </c>
      <c r="C22" s="98" t="n">
        <v>122</v>
      </c>
      <c r="D22" s="98" t="n">
        <v>589955</v>
      </c>
      <c r="E22" s="98" t="n">
        <v>346303</v>
      </c>
      <c r="F22" s="98" t="n">
        <v>196047</v>
      </c>
      <c r="G22" s="98" t="n">
        <v>390458</v>
      </c>
      <c r="H22" s="98" t="n">
        <v>72155</v>
      </c>
    </row>
    <row r="23" customFormat="false" ht="15" hidden="false" customHeight="true" outlineLevel="0" collapsed="false">
      <c r="A23" s="124" t="s">
        <v>3049</v>
      </c>
      <c r="B23" s="98" t="n">
        <v>152604</v>
      </c>
      <c r="C23" s="98" t="n">
        <v>162</v>
      </c>
      <c r="D23" s="98" t="n">
        <v>988868</v>
      </c>
      <c r="E23" s="98" t="n">
        <v>384150</v>
      </c>
      <c r="F23" s="98" t="n">
        <v>529446</v>
      </c>
      <c r="G23" s="98" t="n">
        <v>542105</v>
      </c>
      <c r="H23" s="98" t="n">
        <v>153445</v>
      </c>
    </row>
    <row r="24" customFormat="false" ht="15" hidden="false" customHeight="true" outlineLevel="0" collapsed="false">
      <c r="A24" s="124" t="s">
        <v>2910</v>
      </c>
      <c r="B24" s="98" t="n">
        <v>141277</v>
      </c>
      <c r="C24" s="98" t="n">
        <v>36</v>
      </c>
      <c r="D24" s="98" t="n">
        <v>939490</v>
      </c>
      <c r="E24" s="98" t="n">
        <v>347584</v>
      </c>
      <c r="F24" s="98" t="n">
        <v>524236</v>
      </c>
      <c r="G24" s="98" t="n">
        <v>468957</v>
      </c>
      <c r="H24" s="98" t="n">
        <v>141481</v>
      </c>
    </row>
    <row r="25" customFormat="false" ht="15" hidden="false" customHeight="true" outlineLevel="0" collapsed="false">
      <c r="A25" s="124" t="s">
        <v>2912</v>
      </c>
      <c r="B25" s="98" t="n">
        <v>424393</v>
      </c>
      <c r="C25" s="98" t="n">
        <v>278</v>
      </c>
      <c r="D25" s="98" t="n">
        <v>1457575</v>
      </c>
      <c r="E25" s="98" t="n">
        <v>790521</v>
      </c>
      <c r="F25" s="98" t="n">
        <v>516598</v>
      </c>
      <c r="G25" s="98" t="n">
        <v>858348</v>
      </c>
      <c r="H25" s="98" t="n">
        <v>425440</v>
      </c>
    </row>
    <row r="26" customFormat="false" ht="15" hidden="false" customHeight="true" outlineLevel="0" collapsed="false">
      <c r="A26" s="124" t="s">
        <v>1977</v>
      </c>
      <c r="B26" s="98" t="n">
        <v>242545</v>
      </c>
      <c r="C26" s="98" t="n">
        <v>101</v>
      </c>
      <c r="D26" s="98" t="n">
        <v>1149602</v>
      </c>
      <c r="E26" s="98" t="n">
        <v>711550</v>
      </c>
      <c r="F26" s="98" t="n">
        <v>275643</v>
      </c>
      <c r="G26" s="98" t="n">
        <v>768004</v>
      </c>
      <c r="H26" s="98" t="n">
        <v>242937</v>
      </c>
    </row>
    <row r="27" customFormat="false" ht="15" hidden="false" customHeight="true" outlineLevel="0" collapsed="false">
      <c r="A27" s="124" t="s">
        <v>1978</v>
      </c>
      <c r="B27" s="98" t="n">
        <v>42159</v>
      </c>
      <c r="C27" s="98" t="n">
        <v>140</v>
      </c>
      <c r="D27" s="98" t="n">
        <v>378727</v>
      </c>
      <c r="E27" s="98" t="n">
        <v>133303</v>
      </c>
      <c r="F27" s="98" t="n">
        <v>217115</v>
      </c>
      <c r="G27" s="98" t="n">
        <v>190283</v>
      </c>
      <c r="H27" s="98" t="n">
        <v>42771</v>
      </c>
    </row>
    <row r="28" customFormat="false" ht="15" hidden="false" customHeight="true" outlineLevel="0" collapsed="false">
      <c r="A28" s="124" t="s">
        <v>3050</v>
      </c>
      <c r="B28" s="98" t="n">
        <v>249148</v>
      </c>
      <c r="C28" s="98" t="n">
        <v>224</v>
      </c>
      <c r="D28" s="98" t="n">
        <v>2251633</v>
      </c>
      <c r="E28" s="98" t="n">
        <v>724814</v>
      </c>
      <c r="F28" s="98" t="n">
        <v>1385622</v>
      </c>
      <c r="G28" s="98" t="n">
        <v>1067456</v>
      </c>
      <c r="H28" s="98" t="n">
        <v>250257</v>
      </c>
    </row>
    <row r="29" customFormat="false" ht="15" hidden="false" customHeight="true" outlineLevel="0" collapsed="false">
      <c r="A29" s="124" t="s">
        <v>3051</v>
      </c>
      <c r="B29" s="98" t="n">
        <v>85109</v>
      </c>
      <c r="C29" s="98" t="n">
        <v>138</v>
      </c>
      <c r="D29" s="98" t="n">
        <v>1151530</v>
      </c>
      <c r="E29" s="98" t="n">
        <v>383402</v>
      </c>
      <c r="F29" s="98" t="n">
        <v>683796</v>
      </c>
      <c r="G29" s="98" t="n">
        <v>475694</v>
      </c>
      <c r="H29" s="98" t="n">
        <v>85776</v>
      </c>
    </row>
    <row r="30" customFormat="false" ht="15" hidden="false" customHeight="true" outlineLevel="0" collapsed="false">
      <c r="A30" s="124" t="s">
        <v>3052</v>
      </c>
      <c r="B30" s="98" t="n">
        <v>132095</v>
      </c>
      <c r="C30" s="98" t="n">
        <v>177</v>
      </c>
      <c r="D30" s="98" t="n">
        <v>1331904</v>
      </c>
      <c r="E30" s="98" t="n">
        <v>527917</v>
      </c>
      <c r="F30" s="98" t="n">
        <v>706183</v>
      </c>
      <c r="G30" s="98" t="n">
        <v>675874</v>
      </c>
      <c r="H30" s="98" t="n">
        <v>132842</v>
      </c>
    </row>
    <row r="31" customFormat="false" ht="15" hidden="false" customHeight="true" outlineLevel="0" collapsed="false">
      <c r="A31" s="124" t="s">
        <v>3053</v>
      </c>
      <c r="B31" s="98" t="n">
        <v>432</v>
      </c>
      <c r="C31" s="98" t="n">
        <v>2</v>
      </c>
      <c r="D31" s="98" t="n">
        <v>3380</v>
      </c>
      <c r="E31" s="98" t="n">
        <v>2317</v>
      </c>
      <c r="F31" s="98" t="n">
        <v>42</v>
      </c>
    </row>
    <row r="32" customFormat="false" ht="15" hidden="false" customHeight="true" outlineLevel="0" collapsed="false">
      <c r="A32" s="124" t="s">
        <v>3054</v>
      </c>
      <c r="B32" s="98" t="n">
        <v>102428</v>
      </c>
      <c r="C32" s="98" t="n">
        <v>27</v>
      </c>
      <c r="D32" s="98" t="n">
        <v>641820</v>
      </c>
      <c r="E32" s="98" t="n">
        <v>325375</v>
      </c>
      <c r="F32" s="98" t="n">
        <v>274544</v>
      </c>
      <c r="G32" s="98" t="n">
        <v>441933</v>
      </c>
      <c r="H32" s="98" t="n">
        <v>102547</v>
      </c>
    </row>
    <row r="33" customFormat="false" ht="15" hidden="false" customHeight="true" outlineLevel="0" collapsed="false">
      <c r="A33" s="124" t="s">
        <v>1984</v>
      </c>
      <c r="B33" s="98" t="n">
        <v>23407</v>
      </c>
      <c r="C33" s="98" t="n">
        <v>79</v>
      </c>
      <c r="D33" s="98" t="n">
        <v>262042</v>
      </c>
      <c r="E33" s="98" t="n">
        <v>164640</v>
      </c>
      <c r="F33" s="98" t="n">
        <v>77275</v>
      </c>
      <c r="G33" s="98" t="n">
        <v>167685</v>
      </c>
      <c r="H33" s="98" t="n">
        <v>23910</v>
      </c>
    </row>
    <row r="34" customFormat="false" ht="15" hidden="false" customHeight="true" outlineLevel="0" collapsed="false">
      <c r="A34" s="124" t="s">
        <v>1979</v>
      </c>
      <c r="B34" s="98" t="n">
        <v>306016</v>
      </c>
      <c r="C34" s="98" t="n">
        <v>181</v>
      </c>
      <c r="D34" s="98" t="n">
        <v>2229392</v>
      </c>
      <c r="E34" s="98" t="n">
        <v>850113</v>
      </c>
      <c r="F34" s="98" t="n">
        <v>1233536</v>
      </c>
      <c r="G34" s="98" t="n">
        <v>1118758</v>
      </c>
      <c r="H34" s="98" t="n">
        <v>307549</v>
      </c>
    </row>
    <row r="35" customFormat="false" ht="15" hidden="false" customHeight="true" outlineLevel="0" collapsed="false">
      <c r="A35" s="124" t="s">
        <v>1987</v>
      </c>
      <c r="B35" s="98" t="n">
        <v>16921</v>
      </c>
      <c r="C35" s="98" t="n">
        <v>72</v>
      </c>
      <c r="D35" s="98" t="n">
        <v>147907</v>
      </c>
      <c r="E35" s="98" t="n">
        <v>84838</v>
      </c>
      <c r="F35" s="98" t="n">
        <v>50659</v>
      </c>
      <c r="G35" s="98" t="n">
        <v>95754</v>
      </c>
      <c r="H35" s="98" t="n">
        <v>17608</v>
      </c>
    </row>
    <row r="36" customFormat="false" ht="15" hidden="false" customHeight="true" outlineLevel="0" collapsed="false">
      <c r="A36" s="124" t="s">
        <v>1986</v>
      </c>
      <c r="B36" s="98" t="n">
        <v>103930</v>
      </c>
      <c r="C36" s="98" t="n">
        <v>176</v>
      </c>
      <c r="D36" s="98" t="n">
        <v>383718</v>
      </c>
      <c r="E36" s="98" t="n">
        <v>222924</v>
      </c>
      <c r="F36" s="98" t="n">
        <v>129458</v>
      </c>
      <c r="G36" s="98" t="n">
        <v>258844</v>
      </c>
      <c r="H36" s="98" t="n">
        <v>105271</v>
      </c>
    </row>
    <row r="37" customFormat="false" ht="15" hidden="false" customHeight="true" outlineLevel="0" collapsed="false">
      <c r="A37" s="124" t="s">
        <v>2390</v>
      </c>
      <c r="B37" s="98" t="n">
        <v>42919</v>
      </c>
      <c r="C37" s="98" t="n">
        <v>112</v>
      </c>
      <c r="D37" s="98" t="n">
        <v>344961</v>
      </c>
      <c r="E37" s="98" t="n">
        <v>188860</v>
      </c>
      <c r="F37" s="98" t="n">
        <v>119447</v>
      </c>
      <c r="G37" s="98" t="n">
        <v>210909</v>
      </c>
      <c r="H37" s="98" t="n">
        <v>43477</v>
      </c>
    </row>
    <row r="38" customFormat="false" ht="15" hidden="false" customHeight="true" outlineLevel="0" collapsed="false">
      <c r="A38" s="124" t="s">
        <v>2406</v>
      </c>
      <c r="B38" s="98" t="n">
        <v>391515</v>
      </c>
      <c r="C38" s="98" t="n">
        <v>246</v>
      </c>
      <c r="D38" s="98" t="n">
        <v>1767493</v>
      </c>
      <c r="E38" s="98" t="n">
        <v>852639</v>
      </c>
      <c r="F38" s="98" t="n">
        <v>712274</v>
      </c>
      <c r="G38" s="98" t="n">
        <v>948743</v>
      </c>
      <c r="H38" s="98" t="n">
        <v>400468</v>
      </c>
    </row>
    <row r="39" customFormat="false" ht="15" hidden="false" customHeight="true" outlineLevel="0" collapsed="false">
      <c r="A39" s="124" t="s">
        <v>1980</v>
      </c>
      <c r="B39" s="98" t="n">
        <v>40300</v>
      </c>
      <c r="C39" s="98" t="n">
        <v>60</v>
      </c>
      <c r="D39" s="98" t="n">
        <v>462873</v>
      </c>
      <c r="E39" s="98" t="n">
        <v>191490</v>
      </c>
      <c r="F39" s="98" t="n">
        <v>230063</v>
      </c>
      <c r="G39" s="98" t="n">
        <v>227607</v>
      </c>
      <c r="H39" s="98" t="n">
        <v>40695</v>
      </c>
    </row>
    <row r="40" customFormat="false" ht="15" hidden="false" customHeight="true" outlineLevel="0" collapsed="false">
      <c r="A40" s="124" t="s">
        <v>3055</v>
      </c>
      <c r="B40" s="98" t="n">
        <v>66179</v>
      </c>
      <c r="C40" s="98" t="n">
        <v>39</v>
      </c>
      <c r="D40" s="98" t="n">
        <v>603246</v>
      </c>
      <c r="E40" s="98" t="n">
        <v>236068</v>
      </c>
      <c r="F40" s="98" t="n">
        <v>306145</v>
      </c>
      <c r="G40" s="98" t="n">
        <v>273481</v>
      </c>
      <c r="H40" s="98" t="n">
        <v>66373</v>
      </c>
    </row>
    <row r="41" customFormat="false" ht="15" hidden="false" customHeight="true" outlineLevel="0" collapsed="false">
      <c r="A41" s="124" t="s">
        <v>2915</v>
      </c>
      <c r="B41" s="98" t="n">
        <v>574867</v>
      </c>
      <c r="C41" s="98" t="n">
        <v>556</v>
      </c>
      <c r="D41" s="98" t="n">
        <v>3914782</v>
      </c>
      <c r="E41" s="98" t="n">
        <v>1523761</v>
      </c>
      <c r="F41" s="98" t="n">
        <v>2041281</v>
      </c>
      <c r="G41" s="98" t="n">
        <v>1741916</v>
      </c>
      <c r="H41" s="98" t="n">
        <v>578602</v>
      </c>
    </row>
    <row r="42" customFormat="false" ht="15" hidden="false" customHeight="true" outlineLevel="0" collapsed="false">
      <c r="A42" s="124" t="s">
        <v>3056</v>
      </c>
      <c r="B42" s="98" t="n">
        <v>361398</v>
      </c>
      <c r="C42" s="98" t="n">
        <v>795</v>
      </c>
      <c r="D42" s="98" t="n">
        <v>2536384</v>
      </c>
      <c r="E42" s="98" t="n">
        <v>939684</v>
      </c>
      <c r="F42" s="98" t="n">
        <v>1414094</v>
      </c>
      <c r="G42" s="98" t="n">
        <v>1145759</v>
      </c>
      <c r="H42" s="98" t="n">
        <v>365487</v>
      </c>
    </row>
    <row r="43" customFormat="false" ht="15" hidden="false" customHeight="true" outlineLevel="0" collapsed="false">
      <c r="A43" s="124" t="s">
        <v>3057</v>
      </c>
      <c r="B43" s="98" t="n">
        <v>122187</v>
      </c>
      <c r="C43" s="98" t="n">
        <v>103</v>
      </c>
      <c r="D43" s="98" t="n">
        <v>806321</v>
      </c>
      <c r="E43" s="98" t="n">
        <v>408970</v>
      </c>
      <c r="F43" s="98" t="n">
        <v>325388</v>
      </c>
      <c r="G43" s="98" t="n">
        <v>511034</v>
      </c>
      <c r="H43" s="98" t="n">
        <v>122763</v>
      </c>
    </row>
    <row r="44" customFormat="false" ht="15" hidden="false" customHeight="true" outlineLevel="0" collapsed="false">
      <c r="A44" s="124" t="s">
        <v>3058</v>
      </c>
      <c r="B44" s="98" t="n">
        <v>89800</v>
      </c>
      <c r="C44" s="98" t="n">
        <v>104</v>
      </c>
      <c r="D44" s="98" t="n">
        <v>945907</v>
      </c>
      <c r="E44" s="98" t="n">
        <v>356872</v>
      </c>
      <c r="F44" s="98" t="n">
        <v>516885</v>
      </c>
      <c r="G44" s="98" t="n">
        <v>399527</v>
      </c>
      <c r="H44" s="98" t="n">
        <v>90380</v>
      </c>
    </row>
    <row r="45" customFormat="false" ht="15" hidden="false" customHeight="true" outlineLevel="0" collapsed="false">
      <c r="A45" s="124" t="s">
        <v>3059</v>
      </c>
      <c r="B45" s="98" t="n">
        <v>397873</v>
      </c>
      <c r="C45" s="98" t="n">
        <v>566</v>
      </c>
      <c r="D45" s="98" t="n">
        <v>2951214</v>
      </c>
      <c r="E45" s="98" t="n">
        <v>1143371</v>
      </c>
      <c r="F45" s="98" t="n">
        <v>1561375</v>
      </c>
      <c r="G45" s="98" t="n">
        <v>1331136</v>
      </c>
      <c r="H45" s="98" t="n">
        <v>402484</v>
      </c>
    </row>
    <row r="46" customFormat="false" ht="15" hidden="false" customHeight="true" outlineLevel="0" collapsed="false">
      <c r="A46" s="124" t="s">
        <v>1976</v>
      </c>
      <c r="B46" s="98" t="n">
        <v>3747</v>
      </c>
      <c r="C46" s="98" t="n">
        <v>69</v>
      </c>
      <c r="D46" s="98" t="n">
        <v>771933</v>
      </c>
      <c r="E46" s="98" t="n">
        <v>29760</v>
      </c>
      <c r="F46" s="98" t="n">
        <v>658897</v>
      </c>
      <c r="G46" s="98" t="n">
        <v>52511</v>
      </c>
      <c r="H46" s="98" t="n">
        <v>5233</v>
      </c>
    </row>
    <row r="47" customFormat="false" ht="15" hidden="false" customHeight="true" outlineLevel="0" collapsed="false">
      <c r="A47" s="124" t="s">
        <v>3060</v>
      </c>
      <c r="B47" s="98" t="n">
        <v>33713</v>
      </c>
      <c r="C47" s="98" t="n">
        <v>48</v>
      </c>
      <c r="D47" s="98" t="n">
        <v>243313</v>
      </c>
      <c r="E47" s="98" t="n">
        <v>74605</v>
      </c>
      <c r="F47" s="98" t="n">
        <v>143776</v>
      </c>
      <c r="G47" s="98" t="n">
        <v>94029</v>
      </c>
      <c r="H47" s="98" t="n">
        <v>33917</v>
      </c>
    </row>
    <row r="48" customFormat="false" ht="15" hidden="false" customHeight="true" outlineLevel="0" collapsed="false">
      <c r="A48" s="124" t="s">
        <v>3061</v>
      </c>
      <c r="B48" s="98" t="n">
        <v>295516</v>
      </c>
      <c r="C48" s="98" t="n">
        <v>105</v>
      </c>
      <c r="D48" s="98" t="n">
        <v>1230967</v>
      </c>
      <c r="E48" s="98" t="n">
        <v>590822</v>
      </c>
      <c r="F48" s="98" t="n">
        <v>558256</v>
      </c>
      <c r="G48" s="98" t="n">
        <v>681616</v>
      </c>
      <c r="H48" s="98" t="n">
        <v>297713</v>
      </c>
    </row>
    <row r="49" customFormat="false" ht="15" hidden="false" customHeight="true" outlineLevel="0" collapsed="false">
      <c r="A49" s="124" t="s">
        <v>1985</v>
      </c>
      <c r="B49" s="98" t="n">
        <v>22427</v>
      </c>
      <c r="C49" s="98" t="n">
        <v>91</v>
      </c>
      <c r="D49" s="98" t="n">
        <v>198336</v>
      </c>
      <c r="E49" s="98" t="n">
        <v>110936</v>
      </c>
      <c r="F49" s="98" t="n">
        <v>71338</v>
      </c>
      <c r="G49" s="98" t="n">
        <v>124052</v>
      </c>
      <c r="H49" s="98" t="n">
        <v>22972</v>
      </c>
    </row>
    <row r="50" customFormat="false" ht="15" hidden="false" customHeight="true" outlineLevel="0" collapsed="false">
      <c r="A50" s="124" t="s">
        <v>3062</v>
      </c>
      <c r="B50" s="98" t="n">
        <v>238367</v>
      </c>
      <c r="C50" s="98" t="n">
        <v>109</v>
      </c>
      <c r="D50" s="98" t="n">
        <v>1483324</v>
      </c>
      <c r="E50" s="98" t="n">
        <v>596061</v>
      </c>
      <c r="F50" s="98" t="n">
        <v>776961</v>
      </c>
      <c r="G50" s="98" t="n">
        <v>715394</v>
      </c>
      <c r="H50" s="98" t="n">
        <v>240294</v>
      </c>
    </row>
    <row r="51" customFormat="false" ht="15" hidden="false" customHeight="true" outlineLevel="0" collapsed="false">
      <c r="A51" s="124" t="s">
        <v>2921</v>
      </c>
      <c r="B51" s="98" t="n">
        <v>697938</v>
      </c>
      <c r="C51" s="98" t="n">
        <v>522</v>
      </c>
      <c r="D51" s="98" t="n">
        <v>4773896</v>
      </c>
      <c r="E51" s="98" t="n">
        <v>1794523</v>
      </c>
      <c r="F51" s="98" t="n">
        <v>2550003</v>
      </c>
      <c r="G51" s="98" t="n">
        <v>2125425</v>
      </c>
      <c r="H51" s="98" t="n">
        <v>717846</v>
      </c>
    </row>
    <row r="52" customFormat="false" ht="15" hidden="false" customHeight="true" outlineLevel="0" collapsed="false">
      <c r="A52" s="124" t="s">
        <v>1983</v>
      </c>
      <c r="B52" s="98" t="n">
        <v>32011</v>
      </c>
      <c r="C52" s="98" t="n">
        <v>71</v>
      </c>
      <c r="D52" s="98" t="n">
        <v>465902</v>
      </c>
      <c r="E52" s="98" t="n">
        <v>180474</v>
      </c>
      <c r="F52" s="98" t="n">
        <v>241382</v>
      </c>
      <c r="G52" s="98" t="n">
        <v>210016</v>
      </c>
      <c r="H52" s="98" t="n">
        <v>32357</v>
      </c>
    </row>
    <row r="53" customFormat="false" ht="15" hidden="false" customHeight="true" outlineLevel="0" collapsed="false">
      <c r="A53" s="124" t="s">
        <v>3063</v>
      </c>
      <c r="B53" s="98" t="n">
        <v>242782</v>
      </c>
      <c r="C53" s="98" t="n">
        <v>237</v>
      </c>
      <c r="D53" s="98" t="n">
        <v>1688634</v>
      </c>
      <c r="E53" s="98" t="n">
        <v>871823</v>
      </c>
      <c r="F53" s="98" t="n">
        <v>643577</v>
      </c>
      <c r="G53" s="98" t="n">
        <v>1022989</v>
      </c>
      <c r="H53" s="98" t="n">
        <v>243796</v>
      </c>
    </row>
    <row r="54" customFormat="false" ht="15" hidden="false" customHeight="true" outlineLevel="0" collapsed="false">
      <c r="A54" s="124" t="s">
        <v>3064</v>
      </c>
      <c r="B54" s="98" t="n">
        <v>764</v>
      </c>
      <c r="C54" s="98" t="n">
        <v>2</v>
      </c>
      <c r="D54" s="98" t="n">
        <v>20910</v>
      </c>
      <c r="E54" s="98" t="n">
        <v>12567</v>
      </c>
      <c r="F54" s="98" t="n">
        <v>6312</v>
      </c>
      <c r="G54" s="98" t="n">
        <v>17549</v>
      </c>
      <c r="H54" s="98" t="n">
        <v>764</v>
      </c>
    </row>
    <row r="55" customFormat="false" ht="15" hidden="false" customHeight="true" outlineLevel="0" collapsed="false">
      <c r="A55" s="124" t="s">
        <v>3065</v>
      </c>
      <c r="B55" s="98" t="n">
        <v>31622</v>
      </c>
      <c r="C55" s="98" t="n">
        <v>62</v>
      </c>
      <c r="D55" s="98" t="n">
        <v>165225</v>
      </c>
      <c r="E55" s="98" t="n">
        <v>98125</v>
      </c>
      <c r="F55" s="98" t="n">
        <v>53627</v>
      </c>
      <c r="G55" s="98" t="n">
        <v>116646</v>
      </c>
      <c r="H55" s="98" t="n">
        <v>31957</v>
      </c>
    </row>
    <row r="56" customFormat="false" ht="15" hidden="false" customHeight="true" outlineLevel="0" collapsed="false">
      <c r="A56" s="124" t="s">
        <v>3066</v>
      </c>
      <c r="B56" s="98" t="n">
        <v>158658</v>
      </c>
      <c r="C56" s="98" t="n">
        <v>183</v>
      </c>
      <c r="D56" s="98" t="n">
        <v>1524231</v>
      </c>
      <c r="E56" s="98" t="n">
        <v>643195</v>
      </c>
      <c r="F56" s="98" t="n">
        <v>741828</v>
      </c>
      <c r="G56" s="98" t="n">
        <v>772321</v>
      </c>
      <c r="H56" s="98" t="n">
        <v>159427</v>
      </c>
    </row>
    <row r="57" customFormat="false" ht="15" hidden="false" customHeight="true" outlineLevel="0" collapsed="false">
      <c r="A57" s="124" t="s">
        <v>3067</v>
      </c>
      <c r="B57" s="98" t="n">
        <v>132329</v>
      </c>
      <c r="C57" s="98" t="n">
        <v>302</v>
      </c>
      <c r="D57" s="98" t="n">
        <v>1316127</v>
      </c>
      <c r="E57" s="98" t="n">
        <v>486380</v>
      </c>
      <c r="F57" s="98" t="n">
        <v>749027</v>
      </c>
      <c r="G57" s="98" t="n">
        <v>583966</v>
      </c>
      <c r="H57" s="98" t="n">
        <v>133909</v>
      </c>
    </row>
    <row r="58" customFormat="false" ht="15" hidden="false" customHeight="true" outlineLevel="0" collapsed="false">
      <c r="A58" s="124" t="s">
        <v>3068</v>
      </c>
      <c r="B58" s="98" t="n">
        <v>92332</v>
      </c>
      <c r="C58" s="98" t="n">
        <v>117</v>
      </c>
      <c r="D58" s="98" t="n">
        <v>453288</v>
      </c>
      <c r="E58" s="98" t="n">
        <v>179577</v>
      </c>
      <c r="F58" s="98" t="n">
        <v>243208</v>
      </c>
      <c r="G58" s="98" t="n">
        <v>260456</v>
      </c>
      <c r="H58" s="98" t="n">
        <v>93241</v>
      </c>
    </row>
    <row r="59" customFormat="false" ht="15" hidden="false" customHeight="true" outlineLevel="0" collapsed="false">
      <c r="A59" s="124" t="s">
        <v>1981</v>
      </c>
      <c r="B59" s="98" t="n">
        <v>7880</v>
      </c>
      <c r="C59" s="98" t="n">
        <v>16</v>
      </c>
      <c r="D59" s="98" t="n">
        <v>127445</v>
      </c>
      <c r="E59" s="98" t="n">
        <v>94821</v>
      </c>
      <c r="F59" s="98" t="n">
        <v>22874</v>
      </c>
      <c r="G59" s="98" t="n">
        <v>96025</v>
      </c>
      <c r="H59" s="98" t="n">
        <v>8056</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6"/>
    <col collapsed="false" customWidth="true" hidden="false" outlineLevel="0" max="3" min="3" style="1" width="17"/>
    <col collapsed="false" customWidth="true" hidden="false" outlineLevel="0" max="5" min="4" style="1" width="15"/>
    <col collapsed="false" customWidth="true" hidden="false" outlineLevel="0" max="6" min="6" style="1" width="13"/>
    <col collapsed="false" customWidth="true" hidden="false" outlineLevel="0" max="7" min="7" style="1" width="16"/>
    <col collapsed="false" customWidth="true" hidden="false" outlineLevel="0" max="8" min="8" style="1" width="15"/>
    <col collapsed="false" customWidth="true" hidden="false" outlineLevel="0" max="14" min="9" style="1" width="13"/>
  </cols>
  <sheetData>
    <row r="1" customFormat="false" ht="24" hidden="false" customHeight="true" outlineLevel="0" collapsed="false">
      <c r="A1" s="14" t="s">
        <v>3069</v>
      </c>
      <c r="B1" s="14"/>
      <c r="C1" s="14"/>
      <c r="D1" s="14"/>
      <c r="E1" s="14"/>
      <c r="F1" s="14"/>
      <c r="G1" s="14"/>
      <c r="H1" s="14"/>
    </row>
    <row r="2" customFormat="false" ht="54.75" hidden="false" customHeight="true" outlineLevel="0" collapsed="false">
      <c r="A2" s="3" t="s">
        <v>3070</v>
      </c>
      <c r="B2" s="3"/>
      <c r="C2" s="3"/>
      <c r="D2" s="3"/>
      <c r="E2" s="3"/>
      <c r="F2" s="3"/>
      <c r="G2" s="3"/>
      <c r="H2" s="3"/>
    </row>
    <row r="3" customFormat="false" ht="13.5" hidden="false" customHeight="true" outlineLevel="0" collapsed="false"/>
    <row r="4" customFormat="false" ht="33.75" hidden="false" customHeight="true" outlineLevel="0" collapsed="false">
      <c r="A4" s="7" t="s">
        <v>1970</v>
      </c>
      <c r="B4" s="7" t="s">
        <v>3071</v>
      </c>
      <c r="C4" s="7" t="s">
        <v>3072</v>
      </c>
      <c r="D4" s="7" t="s">
        <v>3073</v>
      </c>
      <c r="E4" s="7" t="s">
        <v>3074</v>
      </c>
      <c r="F4" s="7" t="s">
        <v>3075</v>
      </c>
      <c r="G4" s="7" t="s">
        <v>3076</v>
      </c>
      <c r="H4" s="7" t="s">
        <v>3077</v>
      </c>
      <c r="I4" s="111"/>
      <c r="J4" s="173" t="s">
        <v>3078</v>
      </c>
      <c r="K4" s="111"/>
      <c r="L4" s="111"/>
      <c r="M4" s="111"/>
      <c r="N4" s="111"/>
      <c r="O4" s="111"/>
      <c r="P4" s="174" t="s">
        <v>3079</v>
      </c>
    </row>
    <row r="5" customFormat="false" ht="33.75" hidden="false" customHeight="true" outlineLevel="0" collapsed="false">
      <c r="A5" s="175" t="str">
        <f aca="false">State_Saturation_Raw!A5</f>
        <v>AK</v>
      </c>
      <c r="B5" s="176" t="n">
        <f aca="false">State_Saturation_Raw!B5/State_Saturation_Raw!E5*1000</f>
        <v>235.823832857895</v>
      </c>
      <c r="C5" s="176" t="n">
        <f aca="false">State_Saturation_Raw!C5/State_Saturation_Raw!E5*100000</f>
        <v>34.7881402260235</v>
      </c>
      <c r="D5" s="177" t="n">
        <f aca="false">State_Saturation_Raw!F5/State_Saturation_Raw!D5</f>
        <v>0.0262819319124443</v>
      </c>
      <c r="E5" s="177" t="n">
        <f aca="false">IF(State_Saturation_Raw!G5&gt;0,State_Saturation_Raw!E5/State_Saturation_Raw!G5-1,"")</f>
        <v>0.168689813793023</v>
      </c>
      <c r="F5" s="178" t="n">
        <f aca="false">State_Saturation_Raw!B5/State_Saturation_Raw!C5</f>
        <v>677.885714285714</v>
      </c>
      <c r="G5" s="176" t="n">
        <f aca="false">IF(State_Saturation_Raw!H5&gt;0,State_Saturation_Raw!H5/State_Saturation_Raw!E5*1000,"")</f>
        <v>238.507489389617</v>
      </c>
      <c r="H5" s="177" t="n">
        <f aca="false">IF(State_Saturation_Raw!H5&gt;0,State_Saturation_Raw!B5/State_Saturation_Raw!H5-1,"")</f>
        <v>-0.0112518753125521</v>
      </c>
      <c r="I5" s="111"/>
      <c r="J5" s="7" t="s">
        <v>1969</v>
      </c>
      <c r="K5" s="7" t="s">
        <v>3080</v>
      </c>
      <c r="L5" s="7" t="s">
        <v>3081</v>
      </c>
      <c r="M5" s="7" t="s">
        <v>3082</v>
      </c>
      <c r="N5" s="7" t="s">
        <v>3081</v>
      </c>
      <c r="O5" s="111"/>
      <c r="P5" s="7" t="s">
        <v>1969</v>
      </c>
      <c r="Q5" s="7" t="s">
        <v>1970</v>
      </c>
      <c r="R5" s="7" t="s">
        <v>3083</v>
      </c>
    </row>
    <row r="6" customFormat="false" ht="130.5" hidden="false" customHeight="true" outlineLevel="0" collapsed="false">
      <c r="A6" s="179" t="str">
        <f aca="false">State_Saturation_Raw!A6</f>
        <v>AL</v>
      </c>
      <c r="B6" s="160" t="n">
        <f aca="false">State_Saturation_Raw!B6/State_Saturation_Raw!E6*1000</f>
        <v>422.837460476134</v>
      </c>
      <c r="C6" s="160" t="n">
        <f aca="false">State_Saturation_Raw!C6/State_Saturation_Raw!E6*100000</f>
        <v>32.8686449425749</v>
      </c>
      <c r="D6" s="132" t="n">
        <f aca="false">State_Saturation_Raw!F6/State_Saturation_Raw!D6</f>
        <v>0.594110694482442</v>
      </c>
      <c r="E6" s="132" t="n">
        <f aca="false">IF(State_Saturation_Raw!G6&gt;0,State_Saturation_Raw!E6/State_Saturation_Raw!G6-1,"")</f>
        <v>-0.3019924005127</v>
      </c>
      <c r="F6" s="180" t="n">
        <f aca="false">State_Saturation_Raw!B6/State_Saturation_Raw!C6</f>
        <v>1286.44628099174</v>
      </c>
      <c r="G6" s="160" t="n">
        <f aca="false">IF(State_Saturation_Raw!H6&gt;0,State_Saturation_Raw!H6/State_Saturation_Raw!E6*1000,"")</f>
        <v>424.521638977323</v>
      </c>
      <c r="H6" s="132" t="n">
        <f aca="false">IF(State_Saturation_Raw!H6&gt;0,State_Saturation_Raw!B6/State_Saturation_Raw!H6-1,"")</f>
        <v>-0.00396723829024825</v>
      </c>
      <c r="I6" s="109"/>
      <c r="J6" s="97" t="n">
        <v>1</v>
      </c>
      <c r="K6" s="9" t="str">
        <f aca="false">INDEX($A$5:$A$59,MATCH(LARGE($G$5:$G$59,1),$G$5:$G$59,0))</f>
        <v>CT</v>
      </c>
      <c r="L6" s="161" t="n">
        <f aca="false">LARGE($G$5:$G$59,1)</f>
        <v>585.627690691091</v>
      </c>
      <c r="M6" s="9" t="str">
        <f aca="false">INDEX($A$5:$A$59,MATCH(SMALL($G$5:$G$59,1),$G$5:$G$59,0))</f>
        <v>VI</v>
      </c>
      <c r="N6" s="161" t="n">
        <f aca="false">SMALL($G$5:$G$59,1)</f>
        <v>60.794143391422</v>
      </c>
      <c r="O6" s="109"/>
      <c r="P6" s="133" t="n">
        <v>1</v>
      </c>
      <c r="Q6" s="133" t="str">
        <f aca="false">INDEX($A$5:$A$59,MATCH(LARGE($D$5:$D$59,1),$D$5:$D$59,0))</f>
        <v>PR</v>
      </c>
      <c r="R6" s="181" t="n">
        <f aca="false">LARGE($D$5:$D$59,1)</f>
        <v>0.853567602369636</v>
      </c>
    </row>
    <row r="7" customFormat="false" ht="130.5" hidden="false" customHeight="true" outlineLevel="0" collapsed="false">
      <c r="A7" s="179" t="str">
        <f aca="false">State_Saturation_Raw!A7</f>
        <v>AR</v>
      </c>
      <c r="B7" s="160" t="n">
        <f aca="false">State_Saturation_Raw!B7/State_Saturation_Raw!E7*1000</f>
        <v>321.368388683887</v>
      </c>
      <c r="C7" s="160" t="n">
        <f aca="false">State_Saturation_Raw!C7/State_Saturation_Raw!E7*100000</f>
        <v>17.8351783517835</v>
      </c>
      <c r="D7" s="132" t="n">
        <f aca="false">State_Saturation_Raw!F7/State_Saturation_Raw!D7</f>
        <v>0.450386502100763</v>
      </c>
      <c r="E7" s="132" t="n">
        <f aca="false">IF(State_Saturation_Raw!G7&gt;0,State_Saturation_Raw!E7/State_Saturation_Raw!G7-1,"")</f>
        <v>-0.228665558209422</v>
      </c>
      <c r="F7" s="180" t="n">
        <f aca="false">State_Saturation_Raw!B7/State_Saturation_Raw!C7</f>
        <v>1801.87931034483</v>
      </c>
      <c r="G7" s="160" t="n">
        <f aca="false">IF(State_Saturation_Raw!H7&gt;0,State_Saturation_Raw!H7/State_Saturation_Raw!E7*1000,"")</f>
        <v>322.020295202952</v>
      </c>
      <c r="H7" s="132" t="n">
        <f aca="false">IF(State_Saturation_Raw!H7&gt;0,State_Saturation_Raw!B7/State_Saturation_Raw!H7-1,"")</f>
        <v>-0.00202442681028636</v>
      </c>
      <c r="I7" s="109"/>
      <c r="J7" s="97" t="n">
        <v>2</v>
      </c>
      <c r="K7" s="9" t="str">
        <f aca="false">INDEX($A$5:$A$59,MATCH(LARGE($G$5:$G$59,2),$G$5:$G$59,0))</f>
        <v>GA</v>
      </c>
      <c r="L7" s="161" t="n">
        <f aca="false">LARGE($G$5:$G$59,2)</f>
        <v>573.22347259008</v>
      </c>
      <c r="M7" s="9" t="str">
        <f aca="false">INDEX($A$5:$A$59,MATCH(SMALL($G$5:$G$59,2),$G$5:$G$59,0))</f>
        <v>WY</v>
      </c>
      <c r="N7" s="161" t="n">
        <f aca="false">SMALL($G$5:$G$59,2)</f>
        <v>84.9600826821063</v>
      </c>
      <c r="O7" s="109"/>
      <c r="P7" s="133" t="n">
        <v>2</v>
      </c>
      <c r="Q7" s="133" t="str">
        <f aca="false">INDEX($A$5:$A$59,MATCH(LARGE($D$5:$D$59,2),$D$5:$D$59,0))</f>
        <v>MI</v>
      </c>
      <c r="R7" s="181" t="n">
        <f aca="false">LARGE($D$5:$D$59,2)</f>
        <v>0.615385366975879</v>
      </c>
    </row>
    <row r="8" customFormat="false" ht="130.5" hidden="false" customHeight="true" outlineLevel="0" collapsed="false">
      <c r="A8" s="179" t="str">
        <f aca="false">State_Saturation_Raw!A8</f>
        <v>AZ</v>
      </c>
      <c r="B8" s="160" t="n">
        <f aca="false">State_Saturation_Raw!B8/State_Saturation_Raw!E8*1000</f>
        <v>211.894910946803</v>
      </c>
      <c r="C8" s="160" t="n">
        <f aca="false">State_Saturation_Raw!C8/State_Saturation_Raw!E8*100000</f>
        <v>16.7493127144999</v>
      </c>
      <c r="D8" s="132" t="n">
        <f aca="false">State_Saturation_Raw!F8/State_Saturation_Raw!D8</f>
        <v>0.503186921158197</v>
      </c>
      <c r="E8" s="132" t="n">
        <f aca="false">IF(State_Saturation_Raw!G8&gt;0,State_Saturation_Raw!E8/State_Saturation_Raw!G8-1,"")</f>
        <v>-0.0819490586932448</v>
      </c>
      <c r="F8" s="180" t="n">
        <f aca="false">State_Saturation_Raw!B8/State_Saturation_Raw!C8</f>
        <v>1265.09615384615</v>
      </c>
      <c r="G8" s="160" t="n">
        <f aca="false">IF(State_Saturation_Raw!H8&gt;0,State_Saturation_Raw!H8/State_Saturation_Raw!E8*1000,"")</f>
        <v>212.492410467676</v>
      </c>
      <c r="H8" s="132" t="n">
        <f aca="false">IF(State_Saturation_Raw!H8&gt;0,State_Saturation_Raw!B8/State_Saturation_Raw!H8-1,"")</f>
        <v>-0.00281186287810464</v>
      </c>
      <c r="I8" s="109"/>
      <c r="J8" s="97" t="n">
        <v>3</v>
      </c>
      <c r="K8" s="9" t="str">
        <f aca="false">INDEX($A$5:$A$59,MATCH(LARGE($G$5:$G$59,3),$G$5:$G$59,0))</f>
        <v>MA</v>
      </c>
      <c r="L8" s="161" t="n">
        <f aca="false">LARGE($G$5:$G$59,3)</f>
        <v>538.17672142802</v>
      </c>
      <c r="M8" s="9" t="str">
        <f aca="false">INDEX($A$5:$A$59,MATCH(SMALL($G$5:$G$59,3),$G$5:$G$59,0))</f>
        <v>MT</v>
      </c>
      <c r="N8" s="161" t="n">
        <f aca="false">SMALL($G$5:$G$59,3)</f>
        <v>145.225947521866</v>
      </c>
      <c r="O8" s="109"/>
      <c r="P8" s="133" t="n">
        <v>3</v>
      </c>
      <c r="Q8" s="133" t="str">
        <f aca="false">INDEX($A$5:$A$59,MATCH(LARGE($D$5:$D$59,3),$D$5:$D$59,0))</f>
        <v>AL</v>
      </c>
      <c r="R8" s="181" t="n">
        <f aca="false">LARGE($D$5:$D$59,3)</f>
        <v>0.594110694482442</v>
      </c>
    </row>
    <row r="9" customFormat="false" ht="130.5" hidden="false" customHeight="true" outlineLevel="0" collapsed="false">
      <c r="A9" s="179" t="str">
        <f aca="false">State_Saturation_Raw!A9</f>
        <v>CA</v>
      </c>
      <c r="B9" s="160" t="n">
        <f aca="false">State_Saturation_Raw!B9/State_Saturation_Raw!E9*1000</f>
        <v>335.863354337351</v>
      </c>
      <c r="C9" s="160" t="n">
        <f aca="false">State_Saturation_Raw!C9/State_Saturation_Raw!E9*100000</f>
        <v>9.29107258000078</v>
      </c>
      <c r="D9" s="132" t="n">
        <f aca="false">State_Saturation_Raw!F9/State_Saturation_Raw!D9</f>
        <v>0.507113998661342</v>
      </c>
      <c r="E9" s="132" t="n">
        <f aca="false">IF(State_Saturation_Raw!G9&gt;0,State_Saturation_Raw!E9/State_Saturation_Raw!G9-1,"")</f>
        <v>-0.0521175002228131</v>
      </c>
      <c r="F9" s="180" t="n">
        <f aca="false">State_Saturation_Raw!B9/State_Saturation_Raw!C9</f>
        <v>3614.904</v>
      </c>
      <c r="G9" s="160" t="n">
        <f aca="false">IF(State_Saturation_Raw!H9&gt;0,State_Saturation_Raw!H9/State_Saturation_Raw!E9*1000,"")</f>
        <v>336.179994090878</v>
      </c>
      <c r="H9" s="132" t="n">
        <f aca="false">IF(State_Saturation_Raw!H9&gt;0,State_Saturation_Raw!B9/State_Saturation_Raw!H9-1,"")</f>
        <v>-0.000941875659147162</v>
      </c>
      <c r="I9" s="109"/>
      <c r="J9" s="97" t="n">
        <v>4</v>
      </c>
      <c r="K9" s="9" t="str">
        <f aca="false">INDEX($A$5:$A$59,MATCH(LARGE($G$5:$G$59,4),$G$5:$G$59,0))</f>
        <v>WV</v>
      </c>
      <c r="L9" s="161" t="n">
        <f aca="false">LARGE($G$5:$G$59,4)</f>
        <v>519.225736035238</v>
      </c>
      <c r="M9" s="9" t="str">
        <f aca="false">INDEX($A$5:$A$59,MATCH(SMALL($G$5:$G$59,4),$G$5:$G$59,0))</f>
        <v>IA</v>
      </c>
      <c r="N9" s="161" t="n">
        <f aca="false">SMALL($G$5:$G$59,4)</f>
        <v>163.420957121377</v>
      </c>
      <c r="O9" s="109"/>
      <c r="P9" s="133" t="n">
        <v>4</v>
      </c>
      <c r="Q9" s="133" t="str">
        <f aca="false">INDEX($A$5:$A$59,MATCH(LARGE($D$5:$D$59,4),$D$5:$D$59,0))</f>
        <v>MN</v>
      </c>
      <c r="R9" s="181" t="n">
        <f aca="false">LARGE($D$5:$D$59,4)</f>
        <v>0.59381518501472</v>
      </c>
    </row>
    <row r="10" customFormat="false" ht="130.5" hidden="false" customHeight="true" outlineLevel="0" collapsed="false">
      <c r="A10" s="179" t="str">
        <f aca="false">State_Saturation_Raw!A10</f>
        <v>CO</v>
      </c>
      <c r="B10" s="160" t="n">
        <f aca="false">State_Saturation_Raw!B10/State_Saturation_Raw!E10*1000</f>
        <v>223.816937257518</v>
      </c>
      <c r="C10" s="160" t="n">
        <f aca="false">State_Saturation_Raw!C10/State_Saturation_Raw!E10*100000</f>
        <v>36.3258951738454</v>
      </c>
      <c r="D10" s="132" t="n">
        <f aca="false">State_Saturation_Raw!F10/State_Saturation_Raw!D10</f>
        <v>0.521188606074164</v>
      </c>
      <c r="E10" s="132" t="n">
        <f aca="false">IF(State_Saturation_Raw!G10&gt;0,State_Saturation_Raw!E10/State_Saturation_Raw!G10-1,"")</f>
        <v>-0.0885749228035324</v>
      </c>
      <c r="F10" s="180" t="n">
        <f aca="false">State_Saturation_Raw!B10/State_Saturation_Raw!C10</f>
        <v>616.136054421769</v>
      </c>
      <c r="G10" s="160" t="n">
        <f aca="false">IF(State_Saturation_Raw!H10&gt;0,State_Saturation_Raw!H10/State_Saturation_Raw!E10*1000,"")</f>
        <v>226.453653594287</v>
      </c>
      <c r="H10" s="132" t="n">
        <f aca="false">IF(State_Saturation_Raw!H10&gt;0,State_Saturation_Raw!B10/State_Saturation_Raw!H10-1,"")</f>
        <v>-0.0116435142242931</v>
      </c>
      <c r="I10" s="109"/>
      <c r="J10" s="97" t="n">
        <v>5</v>
      </c>
      <c r="K10" s="9" t="str">
        <f aca="false">INDEX($A$5:$A$59,MATCH(LARGE($G$5:$G$59,5),$G$5:$G$59,0))</f>
        <v>SC</v>
      </c>
      <c r="L10" s="161" t="n">
        <f aca="false">LARGE($G$5:$G$59,5)</f>
        <v>503.89626655744</v>
      </c>
      <c r="M10" s="9" t="str">
        <f aca="false">INDEX($A$5:$A$59,MATCH(SMALL($G$5:$G$59,5),$G$5:$G$59,0))</f>
        <v>ID</v>
      </c>
      <c r="N10" s="161" t="n">
        <f aca="false">SMALL($G$5:$G$59,5)</f>
        <v>168.832870842569</v>
      </c>
      <c r="O10" s="109"/>
      <c r="P10" s="133" t="n">
        <v>5</v>
      </c>
      <c r="Q10" s="133" t="str">
        <f aca="false">INDEX($A$5:$A$59,MATCH(LARGE($D$5:$D$59,5),$D$5:$D$59,0))</f>
        <v>RI</v>
      </c>
      <c r="R10" s="181" t="n">
        <f aca="false">LARGE($D$5:$D$59,5)</f>
        <v>0.590909651354428</v>
      </c>
    </row>
    <row r="11" customFormat="false" ht="130.5" hidden="false" customHeight="true" outlineLevel="0" collapsed="false">
      <c r="A11" s="179" t="str">
        <f aca="false">State_Saturation_Raw!A11</f>
        <v>CT</v>
      </c>
      <c r="B11" s="160" t="n">
        <f aca="false">State_Saturation_Raw!B11/State_Saturation_Raw!E11*1000</f>
        <v>584.498482626663</v>
      </c>
      <c r="C11" s="160" t="n">
        <f aca="false">State_Saturation_Raw!C11/State_Saturation_Raw!E11*100000</f>
        <v>52.9316280200434</v>
      </c>
      <c r="D11" s="132" t="n">
        <f aca="false">State_Saturation_Raw!F11/State_Saturation_Raw!D11</f>
        <v>0.56236100703222</v>
      </c>
      <c r="E11" s="132" t="n">
        <f aca="false">IF(State_Saturation_Raw!G11&gt;0,State_Saturation_Raw!E11/State_Saturation_Raw!G11-1,"")</f>
        <v>-0.225328113087771</v>
      </c>
      <c r="F11" s="180" t="n">
        <f aca="false">State_Saturation_Raw!B11/State_Saturation_Raw!C11</f>
        <v>1104.25185185185</v>
      </c>
      <c r="G11" s="160" t="n">
        <f aca="false">IF(State_Saturation_Raw!H11&gt;0,State_Saturation_Raw!H11/State_Saturation_Raw!E11*1000,"")</f>
        <v>585.627690691091</v>
      </c>
      <c r="H11" s="132" t="n">
        <f aca="false">IF(State_Saturation_Raw!H11&gt;0,State_Saturation_Raw!B11/State_Saturation_Raw!H11-1,"")</f>
        <v>-0.00192820128278948</v>
      </c>
      <c r="I11" s="109"/>
      <c r="J11" s="97" t="n">
        <v>6</v>
      </c>
      <c r="K11" s="9" t="str">
        <f aca="false">INDEX($A$5:$A$59,MATCH(LARGE($G$5:$G$59,6),$G$5:$G$59,0))</f>
        <v>NE</v>
      </c>
      <c r="L11" s="161" t="n">
        <f aca="false">LARGE($G$5:$G$59,6)</f>
        <v>472.228203333872</v>
      </c>
      <c r="M11" s="9" t="str">
        <f aca="false">INDEX($A$5:$A$59,MATCH(SMALL($G$5:$G$59,6),$G$5:$G$59,0))</f>
        <v>HI</v>
      </c>
      <c r="N11" s="161" t="n">
        <f aca="false">SMALL($G$5:$G$59,6)</f>
        <v>170.163743956834</v>
      </c>
      <c r="O11" s="109"/>
      <c r="P11" s="133" t="n">
        <v>6</v>
      </c>
      <c r="Q11" s="133" t="str">
        <f aca="false">INDEX($A$5:$A$59,MATCH(LARGE($D$5:$D$59,6),$D$5:$D$59,0))</f>
        <v>ME</v>
      </c>
      <c r="R11" s="181" t="n">
        <f aca="false">LARGE($D$5:$D$59,6)</f>
        <v>0.573275736876431</v>
      </c>
    </row>
    <row r="12" customFormat="false" ht="130.5" hidden="false" customHeight="true" outlineLevel="0" collapsed="false">
      <c r="A12" s="179" t="str">
        <f aca="false">State_Saturation_Raw!A12</f>
        <v>DC</v>
      </c>
      <c r="B12" s="160" t="n">
        <f aca="false">State_Saturation_Raw!B12/State_Saturation_Raw!E12*1000</f>
        <v>248.489113337197</v>
      </c>
      <c r="C12" s="160" t="n">
        <f aca="false">State_Saturation_Raw!C12/State_Saturation_Raw!E12*100000</f>
        <v>6.20912327179402</v>
      </c>
      <c r="D12" s="132" t="n">
        <f aca="false">State_Saturation_Raw!F12/State_Saturation_Raw!D12</f>
        <v>0.330280373831776</v>
      </c>
      <c r="E12" s="132" t="n">
        <f aca="false">IF(State_Saturation_Raw!G12&gt;0,State_Saturation_Raw!E12/State_Saturation_Raw!G12-1,"")</f>
        <v>-0.176422459346129</v>
      </c>
      <c r="F12" s="180" t="n">
        <f aca="false">State_Saturation_Raw!B12/State_Saturation_Raw!C12</f>
        <v>4002</v>
      </c>
      <c r="G12" s="160" t="n">
        <f aca="false">IF(State_Saturation_Raw!H12&gt;0,State_Saturation_Raw!H12/State_Saturation_Raw!E12*1000,"")</f>
        <v>248.675387035351</v>
      </c>
      <c r="H12" s="132" t="n">
        <f aca="false">IF(State_Saturation_Raw!H12&gt;0,State_Saturation_Raw!B12/State_Saturation_Raw!H12-1,"")</f>
        <v>-0.000749063670411942</v>
      </c>
      <c r="I12" s="109"/>
      <c r="J12" s="97" t="n">
        <v>7</v>
      </c>
      <c r="K12" s="9" t="str">
        <f aca="false">INDEX($A$5:$A$59,MATCH(LARGE($G$5:$G$59,7),$G$5:$G$59,0))</f>
        <v>NJ</v>
      </c>
      <c r="L12" s="161" t="n">
        <f aca="false">LARGE($G$5:$G$59,7)</f>
        <v>469.680603397217</v>
      </c>
      <c r="M12" s="9" t="str">
        <f aca="false">INDEX($A$5:$A$59,MATCH(SMALL($G$5:$G$59,7),$G$5:$G$59,0))</f>
        <v>PR</v>
      </c>
      <c r="N12" s="161" t="n">
        <f aca="false">SMALL($G$5:$G$59,7)</f>
        <v>175.840053763441</v>
      </c>
      <c r="O12" s="109"/>
      <c r="P12" s="133" t="n">
        <v>7</v>
      </c>
      <c r="Q12" s="133" t="str">
        <f aca="false">INDEX($A$5:$A$59,MATCH(LARGE($D$5:$D$59,7),$D$5:$D$59,0))</f>
        <v>WI</v>
      </c>
      <c r="R12" s="181" t="n">
        <f aca="false">LARGE($D$5:$D$59,7)</f>
        <v>0.569114530740574</v>
      </c>
    </row>
    <row r="13" customFormat="false" ht="130.5" hidden="false" customHeight="true" outlineLevel="0" collapsed="false">
      <c r="A13" s="179" t="str">
        <f aca="false">State_Saturation_Raw!A13</f>
        <v>DE</v>
      </c>
      <c r="B13" s="160" t="n">
        <f aca="false">State_Saturation_Raw!B13/State_Saturation_Raw!E13*1000</f>
        <v>279.498055371106</v>
      </c>
      <c r="C13" s="160" t="n">
        <f aca="false">State_Saturation_Raw!C13/State_Saturation_Raw!E13*100000</f>
        <v>41.3318336427574</v>
      </c>
      <c r="D13" s="132" t="n">
        <f aca="false">State_Saturation_Raw!F13/State_Saturation_Raw!D13</f>
        <v>0.318974091405651</v>
      </c>
      <c r="E13" s="132" t="n">
        <f aca="false">IF(State_Saturation_Raw!G13&gt;0,State_Saturation_Raw!E13/State_Saturation_Raw!G13-1,"")</f>
        <v>-0.0687934178397239</v>
      </c>
      <c r="F13" s="180" t="n">
        <f aca="false">State_Saturation_Raw!B13/State_Saturation_Raw!C13</f>
        <v>676.229508196721</v>
      </c>
      <c r="G13" s="160" t="n">
        <f aca="false">IF(State_Saturation_Raw!H13&gt;0,State_Saturation_Raw!H13/State_Saturation_Raw!E13*1000,"")</f>
        <v>279.606466738037</v>
      </c>
      <c r="H13" s="132" t="n">
        <f aca="false">IF(State_Saturation_Raw!H13&gt;0,State_Saturation_Raw!B13/State_Saturation_Raw!H13-1,"")</f>
        <v>-0.000387728396258447</v>
      </c>
      <c r="I13" s="109"/>
      <c r="J13" s="97" t="n">
        <v>8</v>
      </c>
      <c r="K13" s="9" t="str">
        <f aca="false">INDEX($A$5:$A$59,MATCH(LARGE($G$5:$G$59,8),$G$5:$G$59,0))</f>
        <v>RI</v>
      </c>
      <c r="L13" s="161" t="n">
        <f aca="false">LARGE($G$5:$G$59,8)</f>
        <v>454.621003954159</v>
      </c>
      <c r="M13" s="9" t="str">
        <f aca="false">INDEX($A$5:$A$59,MATCH(SMALL($G$5:$G$59,8),$G$5:$G$59,0))</f>
        <v>UT</v>
      </c>
      <c r="N13" s="161" t="n">
        <f aca="false">SMALL($G$5:$G$59,8)</f>
        <v>179.28898345468</v>
      </c>
      <c r="O13" s="109"/>
      <c r="P13" s="133" t="n">
        <v>8</v>
      </c>
      <c r="Q13" s="133" t="str">
        <f aca="false">INDEX($A$5:$A$59,MATCH(LARGE($D$5:$D$59,8),$D$5:$D$59,0))</f>
        <v>CT</v>
      </c>
      <c r="R13" s="181" t="n">
        <f aca="false">LARGE($D$5:$D$59,8)</f>
        <v>0.56236100703222</v>
      </c>
    </row>
    <row r="14" customFormat="false" ht="130.5" hidden="false" customHeight="true" outlineLevel="0" collapsed="false">
      <c r="A14" s="179" t="str">
        <f aca="false">State_Saturation_Raw!A14</f>
        <v>FL</v>
      </c>
      <c r="B14" s="160" t="n">
        <f aca="false">State_Saturation_Raw!B14/State_Saturation_Raw!E14*1000</f>
        <v>331.502060964456</v>
      </c>
      <c r="C14" s="160" t="n">
        <f aca="false">State_Saturation_Raw!C14/State_Saturation_Raw!E14*100000</f>
        <v>9.18768349265612</v>
      </c>
      <c r="D14" s="132" t="n">
        <f aca="false">State_Saturation_Raw!F14/State_Saturation_Raw!D14</f>
        <v>0.561425920128099</v>
      </c>
      <c r="E14" s="132" t="n">
        <f aca="false">IF(State_Saturation_Raw!G14&gt;0,State_Saturation_Raw!E14/State_Saturation_Raw!G14-1,"")</f>
        <v>-0.113807857728728</v>
      </c>
      <c r="F14" s="180" t="n">
        <f aca="false">State_Saturation_Raw!B14/State_Saturation_Raw!C14</f>
        <v>3608.11363636364</v>
      </c>
      <c r="G14" s="160" t="n">
        <f aca="false">IF(State_Saturation_Raw!H14&gt;0,State_Saturation_Raw!H14/State_Saturation_Raw!E14*1000,"")</f>
        <v>331.798572568083</v>
      </c>
      <c r="H14" s="132" t="n">
        <f aca="false">IF(State_Saturation_Raw!H14&gt;0,State_Saturation_Raw!B14/State_Saturation_Raw!H14-1,"")</f>
        <v>-0.000893649425106502</v>
      </c>
      <c r="I14" s="109"/>
      <c r="J14" s="97" t="n">
        <v>9</v>
      </c>
      <c r="K14" s="9" t="str">
        <f aca="false">INDEX($A$5:$A$59,MATCH(LARGE($G$5:$G$59,9),$G$5:$G$59,0))</f>
        <v>GU</v>
      </c>
      <c r="L14" s="161" t="n">
        <f aca="false">LARGE($G$5:$G$59,9)</f>
        <v>441.216216216216</v>
      </c>
      <c r="M14" s="9" t="str">
        <f aca="false">INDEX($A$5:$A$59,MATCH(SMALL($G$5:$G$59,9),$G$5:$G$59,0))</f>
        <v>SD</v>
      </c>
      <c r="N14" s="161" t="n">
        <f aca="false">SMALL($G$5:$G$59,9)</f>
        <v>207.074349174299</v>
      </c>
      <c r="O14" s="109"/>
      <c r="P14" s="133" t="n">
        <v>9</v>
      </c>
      <c r="Q14" s="133" t="str">
        <f aca="false">INDEX($A$5:$A$59,MATCH(LARGE($D$5:$D$59,9),$D$5:$D$59,0))</f>
        <v>FL</v>
      </c>
      <c r="R14" s="181" t="n">
        <f aca="false">LARGE($D$5:$D$59,9)</f>
        <v>0.561425920128099</v>
      </c>
    </row>
    <row r="15" customFormat="false" ht="130.5" hidden="false" customHeight="true" outlineLevel="0" collapsed="false">
      <c r="A15" s="179" t="str">
        <f aca="false">State_Saturation_Raw!A15</f>
        <v>GA</v>
      </c>
      <c r="B15" s="160" t="n">
        <f aca="false">State_Saturation_Raw!B15/State_Saturation_Raw!E15*1000</f>
        <v>545.980750584492</v>
      </c>
      <c r="C15" s="160" t="n">
        <f aca="false">State_Saturation_Raw!C15/State_Saturation_Raw!E15*100000</f>
        <v>31.6206418430637</v>
      </c>
      <c r="D15" s="132" t="n">
        <f aca="false">State_Saturation_Raw!F15/State_Saturation_Raw!D15</f>
        <v>0.548470975277739</v>
      </c>
      <c r="E15" s="132" t="n">
        <f aca="false">IF(State_Saturation_Raw!G15&gt;0,State_Saturation_Raw!E15/State_Saturation_Raw!G15-1,"")</f>
        <v>-0.201915475217409</v>
      </c>
      <c r="F15" s="180" t="n">
        <f aca="false">State_Saturation_Raw!B15/State_Saturation_Raw!C15</f>
        <v>1726.6592920354</v>
      </c>
      <c r="G15" s="160" t="n">
        <f aca="false">IF(State_Saturation_Raw!H15&gt;0,State_Saturation_Raw!H15/State_Saturation_Raw!E15*1000,"")</f>
        <v>573.22347259008</v>
      </c>
      <c r="H15" s="132" t="n">
        <f aca="false">IF(State_Saturation_Raw!H15&gt;0,State_Saturation_Raw!B15/State_Saturation_Raw!H15-1,"")</f>
        <v>-0.0475254823088339</v>
      </c>
      <c r="I15" s="109"/>
      <c r="J15" s="97" t="n">
        <v>10</v>
      </c>
      <c r="K15" s="9" t="str">
        <f aca="false">INDEX($A$5:$A$59,MATCH(LARGE($G$5:$G$59,10),$G$5:$G$59,0))</f>
        <v>AL</v>
      </c>
      <c r="L15" s="161" t="n">
        <f aca="false">LARGE($G$5:$G$59,10)</f>
        <v>424.521638977323</v>
      </c>
      <c r="M15" s="9" t="str">
        <f aca="false">INDEX($A$5:$A$59,MATCH(SMALL($G$5:$G$59,10),$G$5:$G$59,0))</f>
        <v>ND</v>
      </c>
      <c r="N15" s="161" t="n">
        <f aca="false">SMALL($G$5:$G$59,10)</f>
        <v>207.54850420802</v>
      </c>
      <c r="O15" s="109"/>
      <c r="P15" s="133" t="n">
        <v>10</v>
      </c>
      <c r="Q15" s="133" t="str">
        <f aca="false">INDEX($A$5:$A$59,MATCH(LARGE($D$5:$D$59,10),$D$5:$D$59,0))</f>
        <v>LA</v>
      </c>
      <c r="R15" s="181" t="n">
        <f aca="false">LARGE($D$5:$D$59,10)</f>
        <v>0.558000617356225</v>
      </c>
    </row>
    <row r="16" customFormat="false" ht="130.5" hidden="false" customHeight="true" outlineLevel="0" collapsed="false">
      <c r="A16" s="179" t="str">
        <f aca="false">State_Saturation_Raw!A16</f>
        <v>GU</v>
      </c>
      <c r="B16" s="160" t="n">
        <f aca="false">State_Saturation_Raw!B16/State_Saturation_Raw!E16*1000</f>
        <v>440.39039039039</v>
      </c>
      <c r="C16" s="160" t="n">
        <f aca="false">State_Saturation_Raw!C16/State_Saturation_Raw!E16*100000</f>
        <v>22.5225225225225</v>
      </c>
      <c r="D16" s="132" t="n">
        <f aca="false">State_Saturation_Raw!F16/State_Saturation_Raw!D16</f>
        <v>0.0117841741049042</v>
      </c>
      <c r="E16" s="132" t="n">
        <f aca="false">IF(State_Saturation_Raw!G16&gt;0,State_Saturation_Raw!E16/State_Saturation_Raw!G16-1,"")</f>
        <v>0.164132144729942</v>
      </c>
      <c r="F16" s="180" t="n">
        <f aca="false">State_Saturation_Raw!B16/State_Saturation_Raw!C16</f>
        <v>1955.33333333333</v>
      </c>
      <c r="G16" s="160" t="n">
        <f aca="false">IF(State_Saturation_Raw!H16&gt;0,State_Saturation_Raw!H16/State_Saturation_Raw!E16*1000,"")</f>
        <v>441.216216216216</v>
      </c>
      <c r="H16" s="132" t="n">
        <f aca="false">IF(State_Saturation_Raw!H16&gt;0,State_Saturation_Raw!B16/State_Saturation_Raw!H16-1,"")</f>
        <v>-0.00187170324995745</v>
      </c>
    </row>
    <row r="17" customFormat="false" ht="130.5" hidden="false" customHeight="true" outlineLevel="0" collapsed="false">
      <c r="A17" s="179" t="str">
        <f aca="false">State_Saturation_Raw!A17</f>
        <v>HI</v>
      </c>
      <c r="B17" s="160" t="n">
        <f aca="false">State_Saturation_Raw!B17/State_Saturation_Raw!E17*1000</f>
        <v>170.153897657565</v>
      </c>
      <c r="C17" s="160" t="n">
        <f aca="false">State_Saturation_Raw!C17/State_Saturation_Raw!E17*100000</f>
        <v>2.95388978052599</v>
      </c>
      <c r="D17" s="132" t="n">
        <f aca="false">State_Saturation_Raw!F17/State_Saturation_Raw!D17</f>
        <v>0.535035546144736</v>
      </c>
      <c r="E17" s="132" t="n">
        <f aca="false">IF(State_Saturation_Raw!G17&gt;0,State_Saturation_Raw!E17/State_Saturation_Raw!G17-1,"")</f>
        <v>-0.0789538121106043</v>
      </c>
      <c r="F17" s="180" t="n">
        <f aca="false">State_Saturation_Raw!B17/State_Saturation_Raw!C17</f>
        <v>5760.33333333333</v>
      </c>
      <c r="G17" s="160" t="n">
        <f aca="false">IF(State_Saturation_Raw!H17&gt;0,State_Saturation_Raw!H17/State_Saturation_Raw!E17*1000,"")</f>
        <v>170.163743956834</v>
      </c>
      <c r="H17" s="132" t="n">
        <f aca="false">IF(State_Saturation_Raw!H17&gt;0,State_Saturation_Raw!B17/State_Saturation_Raw!H17-1,"")</f>
        <v>-5.78636731859428E-005</v>
      </c>
    </row>
    <row r="18" customFormat="false" ht="130.5" hidden="false" customHeight="true" outlineLevel="0" collapsed="false">
      <c r="A18" s="179" t="str">
        <f aca="false">State_Saturation_Raw!A18</f>
        <v>IA</v>
      </c>
      <c r="B18" s="160" t="n">
        <f aca="false">State_Saturation_Raw!B18/State_Saturation_Raw!E18*1000</f>
        <v>159.122725151657</v>
      </c>
      <c r="C18" s="160" t="n">
        <f aca="false">State_Saturation_Raw!C18/State_Saturation_Raw!E18*100000</f>
        <v>50.5521854098616</v>
      </c>
      <c r="D18" s="132" t="n">
        <f aca="false">State_Saturation_Raw!F18/State_Saturation_Raw!D18</f>
        <v>0.371151811246724</v>
      </c>
      <c r="E18" s="132" t="n">
        <f aca="false">IF(State_Saturation_Raw!G18&gt;0,State_Saturation_Raw!E18/State_Saturation_Raw!G18-1,"")</f>
        <v>-0.122983320904345</v>
      </c>
      <c r="F18" s="180" t="n">
        <f aca="false">State_Saturation_Raw!B18/State_Saturation_Raw!C18</f>
        <v>314.769230769231</v>
      </c>
      <c r="G18" s="160" t="n">
        <f aca="false">IF(State_Saturation_Raw!H18&gt;0,State_Saturation_Raw!H18/State_Saturation_Raw!E18*1000,"")</f>
        <v>163.420957121377</v>
      </c>
      <c r="H18" s="132" t="n">
        <f aca="false">IF(State_Saturation_Raw!H18&gt;0,State_Saturation_Raw!B18/State_Saturation_Raw!H18-1,"")</f>
        <v>-0.0263015958628129</v>
      </c>
      <c r="I18" s="109"/>
      <c r="J18" s="109"/>
      <c r="K18" s="109"/>
      <c r="L18" s="109"/>
      <c r="M18" s="109"/>
      <c r="N18" s="109"/>
      <c r="O18" s="109"/>
      <c r="P18" s="182" t="s">
        <v>3084</v>
      </c>
    </row>
    <row r="19" customFormat="false" ht="33.75" hidden="false" customHeight="true" outlineLevel="0" collapsed="false">
      <c r="A19" s="175" t="str">
        <f aca="false">State_Saturation_Raw!A19</f>
        <v>ID</v>
      </c>
      <c r="B19" s="176" t="n">
        <f aca="false">State_Saturation_Raw!B19/State_Saturation_Raw!E19*1000</f>
        <v>166.325734049767</v>
      </c>
      <c r="C19" s="176" t="n">
        <f aca="false">State_Saturation_Raw!C19/State_Saturation_Raw!E19*100000</f>
        <v>35.8976404423957</v>
      </c>
      <c r="D19" s="177" t="n">
        <f aca="false">State_Saturation_Raw!F19/State_Saturation_Raw!D19</f>
        <v>0.486224722517865</v>
      </c>
      <c r="E19" s="177" t="n">
        <f aca="false">IF(State_Saturation_Raw!G19&gt;0,State_Saturation_Raw!E19/State_Saturation_Raw!G19-1,"")</f>
        <v>-0.103031820830224</v>
      </c>
      <c r="F19" s="178" t="n">
        <f aca="false">State_Saturation_Raw!B19/State_Saturation_Raw!C19</f>
        <v>463.333333333333</v>
      </c>
      <c r="G19" s="176" t="n">
        <f aca="false">IF(State_Saturation_Raw!H19&gt;0,State_Saturation_Raw!H19/State_Saturation_Raw!E19*1000,"")</f>
        <v>168.832870842569</v>
      </c>
      <c r="H19" s="177" t="n">
        <f aca="false">IF(State_Saturation_Raw!H19&gt;0,State_Saturation_Raw!B19/State_Saturation_Raw!H19-1,"")</f>
        <v>-0.0148498143773202</v>
      </c>
      <c r="I19" s="111"/>
      <c r="J19" s="111"/>
      <c r="K19" s="111"/>
      <c r="L19" s="111"/>
      <c r="M19" s="111"/>
      <c r="N19" s="111"/>
      <c r="O19" s="111"/>
      <c r="P19" s="7" t="s">
        <v>1969</v>
      </c>
      <c r="Q19" s="7" t="s">
        <v>1970</v>
      </c>
      <c r="R19" s="7" t="s">
        <v>3085</v>
      </c>
    </row>
    <row r="20" customFormat="false" ht="130.5" hidden="false" customHeight="true" outlineLevel="0" collapsed="false">
      <c r="A20" s="179" t="str">
        <f aca="false">State_Saturation_Raw!A20</f>
        <v>IL</v>
      </c>
      <c r="B20" s="160" t="n">
        <f aca="false">State_Saturation_Raw!B20/State_Saturation_Raw!E20*1000</f>
        <v>401.332689119153</v>
      </c>
      <c r="C20" s="160" t="n">
        <f aca="false">State_Saturation_Raw!C20/State_Saturation_Raw!E20*100000</f>
        <v>43.275898626642</v>
      </c>
      <c r="D20" s="132" t="n">
        <f aca="false">State_Saturation_Raw!F20/State_Saturation_Raw!D20</f>
        <v>0.428083895753297</v>
      </c>
      <c r="E20" s="132" t="n">
        <f aca="false">IF(State_Saturation_Raw!G20&gt;0,State_Saturation_Raw!E20/State_Saturation_Raw!G20-1,"")</f>
        <v>-0.18255656188954</v>
      </c>
      <c r="F20" s="180" t="n">
        <f aca="false">State_Saturation_Raw!B20/State_Saturation_Raw!C20</f>
        <v>927.381526104418</v>
      </c>
      <c r="G20" s="160" t="n">
        <f aca="false">IF(State_Saturation_Raw!H20&gt;0,State_Saturation_Raw!H20/State_Saturation_Raw!E20*1000,"")</f>
        <v>403.554706645023</v>
      </c>
      <c r="H20" s="132" t="n">
        <f aca="false">IF(State_Saturation_Raw!H20&gt;0,State_Saturation_Raw!B20/State_Saturation_Raw!H20-1,"")</f>
        <v>-0.00550611227990083</v>
      </c>
      <c r="I20" s="109"/>
      <c r="J20" s="109"/>
      <c r="K20" s="109"/>
      <c r="L20" s="109"/>
      <c r="M20" s="109"/>
      <c r="N20" s="109"/>
      <c r="O20" s="109"/>
      <c r="P20" s="133" t="n">
        <v>1</v>
      </c>
      <c r="Q20" s="133" t="str">
        <f aca="false">INDEX($A$5:$A$59,MATCH(SMALL($C$5:$C$59,1),$C$5:$C$59,0))</f>
        <v>HI</v>
      </c>
      <c r="R20" s="183" t="n">
        <f aca="false">SMALL($C$5:$C$59,1)</f>
        <v>2.95388978052599</v>
      </c>
    </row>
    <row r="21" customFormat="false" ht="130.5" hidden="false" customHeight="true" outlineLevel="0" collapsed="false">
      <c r="A21" s="179" t="str">
        <f aca="false">State_Saturation_Raw!A21</f>
        <v>IN</v>
      </c>
      <c r="B21" s="160" t="n">
        <f aca="false">State_Saturation_Raw!B21/State_Saturation_Raw!E21*1000</f>
        <v>262.60459556382</v>
      </c>
      <c r="C21" s="160" t="n">
        <f aca="false">State_Saturation_Raw!C21/State_Saturation_Raw!E21*100000</f>
        <v>35.3632620533935</v>
      </c>
      <c r="D21" s="132" t="n">
        <f aca="false">State_Saturation_Raw!F21/State_Saturation_Raw!D21</f>
        <v>0.492606446339663</v>
      </c>
      <c r="E21" s="132" t="n">
        <f aca="false">IF(State_Saturation_Raw!G21&gt;0,State_Saturation_Raw!E21/State_Saturation_Raw!G21-1,"")</f>
        <v>-0.211858241257844</v>
      </c>
      <c r="F21" s="180" t="n">
        <f aca="false">State_Saturation_Raw!B21/State_Saturation_Raw!C21</f>
        <v>742.591549295775</v>
      </c>
      <c r="G21" s="160" t="n">
        <f aca="false">IF(State_Saturation_Raw!H21&gt;0,State_Saturation_Raw!H21/State_Saturation_Raw!E21*1000,"")</f>
        <v>264.09051666888</v>
      </c>
      <c r="H21" s="132" t="n">
        <f aca="false">IF(State_Saturation_Raw!H21&gt;0,State_Saturation_Raw!B21/State_Saturation_Raw!H21-1,"")</f>
        <v>-0.00562655987728444</v>
      </c>
      <c r="I21" s="109"/>
      <c r="J21" s="109"/>
      <c r="K21" s="109"/>
      <c r="L21" s="109"/>
      <c r="M21" s="109"/>
      <c r="N21" s="109"/>
      <c r="O21" s="109"/>
      <c r="P21" s="133" t="n">
        <v>2</v>
      </c>
      <c r="Q21" s="133" t="str">
        <f aca="false">INDEX($A$5:$A$59,MATCH(SMALL($C$5:$C$59,2),$C$5:$C$59,0))</f>
        <v>DC</v>
      </c>
      <c r="R21" s="183" t="n">
        <f aca="false">SMALL($C$5:$C$59,2)</f>
        <v>6.20912327179402</v>
      </c>
    </row>
    <row r="22" customFormat="false" ht="130.5" hidden="false" customHeight="true" outlineLevel="0" collapsed="false">
      <c r="A22" s="179" t="str">
        <f aca="false">State_Saturation_Raw!A22</f>
        <v>KS</v>
      </c>
      <c r="B22" s="160" t="n">
        <f aca="false">State_Saturation_Raw!B22/State_Saturation_Raw!E22*1000</f>
        <v>206.299108006572</v>
      </c>
      <c r="C22" s="160" t="n">
        <f aca="false">State_Saturation_Raw!C22/State_Saturation_Raw!E22*100000</f>
        <v>35.2292645457879</v>
      </c>
      <c r="D22" s="132" t="n">
        <f aca="false">State_Saturation_Raw!F22/State_Saturation_Raw!D22</f>
        <v>0.332308396403116</v>
      </c>
      <c r="E22" s="132" t="n">
        <f aca="false">IF(State_Saturation_Raw!G22&gt;0,State_Saturation_Raw!E22/State_Saturation_Raw!G22-1,"")</f>
        <v>-0.113085146161687</v>
      </c>
      <c r="F22" s="180" t="n">
        <f aca="false">State_Saturation_Raw!B22/State_Saturation_Raw!C22</f>
        <v>585.590163934426</v>
      </c>
      <c r="G22" s="160" t="n">
        <f aca="false">IF(State_Saturation_Raw!H22&gt;0,State_Saturation_Raw!H22/State_Saturation_Raw!E22*1000,"")</f>
        <v>208.357998631256</v>
      </c>
      <c r="H22" s="132" t="n">
        <f aca="false">IF(State_Saturation_Raw!H22&gt;0,State_Saturation_Raw!B22/State_Saturation_Raw!H22-1,"")</f>
        <v>-0.00988150509320218</v>
      </c>
      <c r="I22" s="109"/>
      <c r="J22" s="109"/>
      <c r="K22" s="109"/>
      <c r="L22" s="109"/>
      <c r="M22" s="109"/>
      <c r="N22" s="109"/>
      <c r="O22" s="109"/>
      <c r="P22" s="133" t="n">
        <v>3</v>
      </c>
      <c r="Q22" s="133" t="str">
        <f aca="false">INDEX($A$5:$A$59,MATCH(SMALL($C$5:$C$59,3),$C$5:$C$59,0))</f>
        <v>MS</v>
      </c>
      <c r="R22" s="183" t="n">
        <f aca="false">SMALL($C$5:$C$59,3)</f>
        <v>8.29811755666539</v>
      </c>
    </row>
    <row r="23" customFormat="false" ht="130.5" hidden="false" customHeight="true" outlineLevel="0" collapsed="false">
      <c r="A23" s="179" t="str">
        <f aca="false">State_Saturation_Raw!A23</f>
        <v>KY</v>
      </c>
      <c r="B23" s="160" t="n">
        <f aca="false">State_Saturation_Raw!B23/State_Saturation_Raw!E23*1000</f>
        <v>397.251073799297</v>
      </c>
      <c r="C23" s="160" t="n">
        <f aca="false">State_Saturation_Raw!C23/State_Saturation_Raw!E23*100000</f>
        <v>42.1710269426006</v>
      </c>
      <c r="D23" s="132" t="n">
        <f aca="false">State_Saturation_Raw!F23/State_Saturation_Raw!D23</f>
        <v>0.535406141163431</v>
      </c>
      <c r="E23" s="132" t="n">
        <f aca="false">IF(State_Saturation_Raw!G23&gt;0,State_Saturation_Raw!E23/State_Saturation_Raw!G23-1,"")</f>
        <v>-0.291373442414292</v>
      </c>
      <c r="F23" s="180" t="n">
        <f aca="false">State_Saturation_Raw!B23/State_Saturation_Raw!C23</f>
        <v>942</v>
      </c>
      <c r="G23" s="160" t="n">
        <f aca="false">IF(State_Saturation_Raw!H23&gt;0,State_Saturation_Raw!H23/State_Saturation_Raw!E23*1000,"")</f>
        <v>399.440322790577</v>
      </c>
      <c r="H23" s="132" t="n">
        <f aca="false">IF(State_Saturation_Raw!H23&gt;0,State_Saturation_Raw!B23/State_Saturation_Raw!H23-1,"")</f>
        <v>-0.00548079116295741</v>
      </c>
      <c r="I23" s="109"/>
      <c r="J23" s="109"/>
      <c r="K23" s="109"/>
      <c r="L23" s="109"/>
      <c r="M23" s="109"/>
      <c r="N23" s="109"/>
      <c r="O23" s="109"/>
      <c r="P23" s="133" t="n">
        <v>4</v>
      </c>
      <c r="Q23" s="133" t="str">
        <f aca="false">INDEX($A$5:$A$59,MATCH(SMALL($C$5:$C$59,4),$C$5:$C$59,0))</f>
        <v>FL</v>
      </c>
      <c r="R23" s="183" t="n">
        <f aca="false">SMALL($C$5:$C$59,4)</f>
        <v>9.18768349265612</v>
      </c>
    </row>
    <row r="24" customFormat="false" ht="130.5" hidden="false" customHeight="true" outlineLevel="0" collapsed="false">
      <c r="A24" s="179" t="str">
        <f aca="false">State_Saturation_Raw!A24</f>
        <v>LA</v>
      </c>
      <c r="B24" s="160" t="n">
        <f aca="false">State_Saturation_Raw!B24/State_Saturation_Raw!E24*1000</f>
        <v>406.45426716995</v>
      </c>
      <c r="C24" s="160" t="n">
        <f aca="false">State_Saturation_Raw!C24/State_Saturation_Raw!E24*100000</f>
        <v>10.3572086171976</v>
      </c>
      <c r="D24" s="132" t="n">
        <f aca="false">State_Saturation_Raw!F24/State_Saturation_Raw!D24</f>
        <v>0.558000617356225</v>
      </c>
      <c r="E24" s="132" t="n">
        <f aca="false">IF(State_Saturation_Raw!G24&gt;0,State_Saturation_Raw!E24/State_Saturation_Raw!G24-1,"")</f>
        <v>-0.258814774062441</v>
      </c>
      <c r="F24" s="180" t="n">
        <f aca="false">State_Saturation_Raw!B24/State_Saturation_Raw!C24</f>
        <v>3924.36111111111</v>
      </c>
      <c r="G24" s="160" t="n">
        <f aca="false">IF(State_Saturation_Raw!H24&gt;0,State_Saturation_Raw!H24/State_Saturation_Raw!E24*1000,"")</f>
        <v>407.041175658258</v>
      </c>
      <c r="H24" s="132" t="n">
        <f aca="false">IF(State_Saturation_Raw!H24&gt;0,State_Saturation_Raw!B24/State_Saturation_Raw!H24-1,"")</f>
        <v>-0.00144188972370851</v>
      </c>
      <c r="I24" s="109"/>
      <c r="J24" s="109"/>
      <c r="K24" s="109"/>
      <c r="L24" s="109"/>
      <c r="M24" s="109"/>
      <c r="N24" s="109"/>
      <c r="O24" s="109"/>
      <c r="P24" s="133" t="n">
        <v>5</v>
      </c>
      <c r="Q24" s="133" t="str">
        <f aca="false">INDEX($A$5:$A$59,MATCH(SMALL($C$5:$C$59,5),$C$5:$C$59,0))</f>
        <v>CA</v>
      </c>
      <c r="R24" s="183" t="n">
        <f aca="false">SMALL($C$5:$C$59,5)</f>
        <v>9.29107258000078</v>
      </c>
    </row>
    <row r="25" customFormat="false" ht="130.5" hidden="false" customHeight="true" outlineLevel="0" collapsed="false">
      <c r="A25" s="179" t="str">
        <f aca="false">State_Saturation_Raw!A25</f>
        <v>MA</v>
      </c>
      <c r="B25" s="160" t="n">
        <f aca="false">State_Saturation_Raw!B25/State_Saturation_Raw!E25*1000</f>
        <v>536.852278434096</v>
      </c>
      <c r="C25" s="160" t="n">
        <f aca="false">State_Saturation_Raw!C25/State_Saturation_Raw!E25*100000</f>
        <v>35.1666812140348</v>
      </c>
      <c r="D25" s="132" t="n">
        <f aca="false">State_Saturation_Raw!F25/State_Saturation_Raw!D25</f>
        <v>0.354422928494246</v>
      </c>
      <c r="E25" s="132" t="n">
        <f aca="false">IF(State_Saturation_Raw!G25&gt;0,State_Saturation_Raw!E25/State_Saturation_Raw!G25-1,"")</f>
        <v>-0.0790203973213661</v>
      </c>
      <c r="F25" s="180" t="n">
        <f aca="false">State_Saturation_Raw!B25/State_Saturation_Raw!C25</f>
        <v>1526.59352517986</v>
      </c>
      <c r="G25" s="160" t="n">
        <f aca="false">IF(State_Saturation_Raw!H25&gt;0,State_Saturation_Raw!H25/State_Saturation_Raw!E25*1000,"")</f>
        <v>538.17672142802</v>
      </c>
      <c r="H25" s="132" t="n">
        <f aca="false">IF(State_Saturation_Raw!H25&gt;0,State_Saturation_Raw!B25/State_Saturation_Raw!H25-1,"")</f>
        <v>-0.00246098157201957</v>
      </c>
      <c r="I25" s="109"/>
      <c r="J25" s="109"/>
      <c r="K25" s="109"/>
      <c r="L25" s="109"/>
      <c r="M25" s="109"/>
      <c r="N25" s="109"/>
      <c r="O25" s="109"/>
      <c r="P25" s="133" t="n">
        <v>6</v>
      </c>
      <c r="Q25" s="133" t="str">
        <f aca="false">INDEX($A$5:$A$59,MATCH(SMALL($C$5:$C$59,6),$C$5:$C$59,0))</f>
        <v>LA</v>
      </c>
      <c r="R25" s="183" t="n">
        <f aca="false">SMALL($C$5:$C$59,6)</f>
        <v>10.3572086171976</v>
      </c>
    </row>
    <row r="26" customFormat="false" ht="130.5" hidden="false" customHeight="true" outlineLevel="0" collapsed="false">
      <c r="A26" s="179" t="str">
        <f aca="false">State_Saturation_Raw!A26</f>
        <v>MD</v>
      </c>
      <c r="B26" s="160" t="n">
        <f aca="false">State_Saturation_Raw!B26/State_Saturation_Raw!E26*1000</f>
        <v>340.868526456328</v>
      </c>
      <c r="C26" s="160" t="n">
        <f aca="false">State_Saturation_Raw!C26/State_Saturation_Raw!E26*100000</f>
        <v>14.1943644157122</v>
      </c>
      <c r="D26" s="132" t="n">
        <f aca="false">State_Saturation_Raw!F26/State_Saturation_Raw!D26</f>
        <v>0.239772547368568</v>
      </c>
      <c r="E26" s="132" t="n">
        <f aca="false">IF(State_Saturation_Raw!G26&gt;0,State_Saturation_Raw!E26/State_Saturation_Raw!G26-1,"")</f>
        <v>-0.0735074296488039</v>
      </c>
      <c r="F26" s="180" t="n">
        <f aca="false">State_Saturation_Raw!B26/State_Saturation_Raw!C26</f>
        <v>2401.43564356436</v>
      </c>
      <c r="G26" s="160" t="n">
        <f aca="false">IF(State_Saturation_Raw!H26&gt;0,State_Saturation_Raw!H26/State_Saturation_Raw!E26*1000,"")</f>
        <v>341.419436441571</v>
      </c>
      <c r="H26" s="132" t="n">
        <f aca="false">IF(State_Saturation_Raw!H26&gt;0,State_Saturation_Raw!B26/State_Saturation_Raw!H26-1,"")</f>
        <v>-0.00161358706166614</v>
      </c>
      <c r="I26" s="109"/>
      <c r="J26" s="109"/>
      <c r="K26" s="109"/>
      <c r="L26" s="109"/>
      <c r="M26" s="109"/>
      <c r="N26" s="109"/>
      <c r="O26" s="109"/>
      <c r="P26" s="133" t="n">
        <v>7</v>
      </c>
      <c r="Q26" s="133" t="str">
        <f aca="false">INDEX($A$5:$A$59,MATCH(SMALL($C$5:$C$59,7),$C$5:$C$59,0))</f>
        <v>MD</v>
      </c>
      <c r="R26" s="183" t="n">
        <f aca="false">SMALL($C$5:$C$59,7)</f>
        <v>14.1943644157122</v>
      </c>
    </row>
    <row r="27" customFormat="false" ht="130.5" hidden="false" customHeight="true" outlineLevel="0" collapsed="false">
      <c r="A27" s="179" t="str">
        <f aca="false">State_Saturation_Raw!A27</f>
        <v>ME</v>
      </c>
      <c r="B27" s="160" t="n">
        <f aca="false">State_Saturation_Raw!B27/State_Saturation_Raw!E27*1000</f>
        <v>316.264450162412</v>
      </c>
      <c r="C27" s="160" t="n">
        <f aca="false">State_Saturation_Raw!C27/State_Saturation_Raw!E27*100000</f>
        <v>105.023892935643</v>
      </c>
      <c r="D27" s="132" t="n">
        <f aca="false">State_Saturation_Raw!F27/State_Saturation_Raw!D27</f>
        <v>0.573275736876431</v>
      </c>
      <c r="E27" s="132" t="n">
        <f aca="false">IF(State_Saturation_Raw!G27&gt;0,State_Saturation_Raw!E27/State_Saturation_Raw!G27-1,"")</f>
        <v>-0.299448715860061</v>
      </c>
      <c r="F27" s="180" t="n">
        <f aca="false">State_Saturation_Raw!B27/State_Saturation_Raw!C27</f>
        <v>301.135714285714</v>
      </c>
      <c r="G27" s="160" t="n">
        <f aca="false">IF(State_Saturation_Raw!H27&gt;0,State_Saturation_Raw!H27/State_Saturation_Raw!E27*1000,"")</f>
        <v>320.855494625027</v>
      </c>
      <c r="H27" s="132" t="n">
        <f aca="false">IF(State_Saturation_Raw!H27&gt;0,State_Saturation_Raw!B27/State_Saturation_Raw!H27-1,"")</f>
        <v>-0.0143087606088237</v>
      </c>
      <c r="I27" s="109"/>
      <c r="J27" s="109"/>
      <c r="K27" s="109"/>
      <c r="L27" s="109"/>
      <c r="M27" s="109"/>
      <c r="N27" s="109"/>
      <c r="O27" s="109"/>
      <c r="P27" s="133" t="n">
        <v>8</v>
      </c>
      <c r="Q27" s="133" t="str">
        <f aca="false">INDEX($A$5:$A$59,MATCH(SMALL($C$5:$C$59,8),$C$5:$C$59,0))</f>
        <v>VI</v>
      </c>
      <c r="R27" s="183" t="n">
        <f aca="false">SMALL($C$5:$C$59,8)</f>
        <v>15.9146972228853</v>
      </c>
    </row>
    <row r="28" customFormat="false" ht="130.5" hidden="false" customHeight="true" outlineLevel="0" collapsed="false">
      <c r="A28" s="179" t="str">
        <f aca="false">State_Saturation_Raw!A28</f>
        <v>MI</v>
      </c>
      <c r="B28" s="160" t="n">
        <f aca="false">State_Saturation_Raw!B28/State_Saturation_Raw!E28*1000</f>
        <v>343.740601036956</v>
      </c>
      <c r="C28" s="160" t="n">
        <f aca="false">State_Saturation_Raw!C28/State_Saturation_Raw!E28*100000</f>
        <v>30.9044803218481</v>
      </c>
      <c r="D28" s="132" t="n">
        <f aca="false">State_Saturation_Raw!F28/State_Saturation_Raw!D28</f>
        <v>0.615385366975879</v>
      </c>
      <c r="E28" s="132" t="n">
        <f aca="false">IF(State_Saturation_Raw!G28&gt;0,State_Saturation_Raw!E28/State_Saturation_Raw!G28-1,"")</f>
        <v>-0.320989342886264</v>
      </c>
      <c r="F28" s="180" t="n">
        <f aca="false">State_Saturation_Raw!B28/State_Saturation_Raw!C28</f>
        <v>1112.26785714286</v>
      </c>
      <c r="G28" s="160" t="n">
        <f aca="false">IF(State_Saturation_Raw!H28&gt;0,State_Saturation_Raw!H28/State_Saturation_Raw!E28*1000,"")</f>
        <v>345.270648745747</v>
      </c>
      <c r="H28" s="132" t="n">
        <f aca="false">IF(State_Saturation_Raw!H28&gt;0,State_Saturation_Raw!B28/State_Saturation_Raw!H28-1,"")</f>
        <v>-0.00443144447507959</v>
      </c>
      <c r="I28" s="109"/>
      <c r="J28" s="109"/>
      <c r="K28" s="109"/>
      <c r="L28" s="109"/>
      <c r="M28" s="109"/>
      <c r="N28" s="109"/>
      <c r="O28" s="109"/>
      <c r="P28" s="133" t="n">
        <v>9</v>
      </c>
      <c r="Q28" s="133" t="str">
        <f aca="false">INDEX($A$5:$A$59,MATCH(SMALL($C$5:$C$59,9),$C$5:$C$59,0))</f>
        <v>NV</v>
      </c>
      <c r="R28" s="183" t="n">
        <f aca="false">SMALL($C$5:$C$59,9)</f>
        <v>16.5206635376248</v>
      </c>
    </row>
    <row r="29" customFormat="false" ht="130.5" hidden="false" customHeight="true" outlineLevel="0" collapsed="false">
      <c r="A29" s="179" t="str">
        <f aca="false">State_Saturation_Raw!A29</f>
        <v>MN</v>
      </c>
      <c r="B29" s="160" t="n">
        <f aca="false">State_Saturation_Raw!B29/State_Saturation_Raw!E29*1000</f>
        <v>221.983714221626</v>
      </c>
      <c r="C29" s="160" t="n">
        <f aca="false">State_Saturation_Raw!C29/State_Saturation_Raw!E29*100000</f>
        <v>35.9935524592986</v>
      </c>
      <c r="D29" s="132" t="n">
        <f aca="false">State_Saturation_Raw!F29/State_Saturation_Raw!D29</f>
        <v>0.59381518501472</v>
      </c>
      <c r="E29" s="132" t="n">
        <f aca="false">IF(State_Saturation_Raw!G29&gt;0,State_Saturation_Raw!E29/State_Saturation_Raw!G29-1,"")</f>
        <v>-0.194015480540011</v>
      </c>
      <c r="F29" s="180" t="n">
        <f aca="false">State_Saturation_Raw!B29/State_Saturation_Raw!C29</f>
        <v>616.731884057971</v>
      </c>
      <c r="G29" s="160" t="n">
        <f aca="false">IF(State_Saturation_Raw!H29&gt;0,State_Saturation_Raw!H29/State_Saturation_Raw!E29*1000,"")</f>
        <v>223.723402590492</v>
      </c>
      <c r="H29" s="132" t="n">
        <f aca="false">IF(State_Saturation_Raw!H29&gt;0,State_Saturation_Raw!B29/State_Saturation_Raw!H29-1,"")</f>
        <v>-0.00777606789778029</v>
      </c>
      <c r="I29" s="109"/>
      <c r="J29" s="109"/>
      <c r="K29" s="109"/>
      <c r="L29" s="109"/>
      <c r="M29" s="109"/>
      <c r="N29" s="109"/>
      <c r="O29" s="109"/>
      <c r="P29" s="133" t="n">
        <v>10</v>
      </c>
      <c r="Q29" s="133" t="str">
        <f aca="false">INDEX($A$5:$A$59,MATCH(SMALL($C$5:$C$59,10),$C$5:$C$59,0))</f>
        <v>AZ</v>
      </c>
      <c r="R29" s="183" t="n">
        <f aca="false">SMALL($C$5:$C$59,10)</f>
        <v>16.7493127144999</v>
      </c>
    </row>
    <row r="30" customFormat="false" ht="130.5" hidden="false" customHeight="true" outlineLevel="0" collapsed="false">
      <c r="A30" s="179" t="str">
        <f aca="false">State_Saturation_Raw!A30</f>
        <v>MO</v>
      </c>
      <c r="B30" s="160" t="n">
        <f aca="false">State_Saturation_Raw!B30/State_Saturation_Raw!E30*1000</f>
        <v>250.219257951534</v>
      </c>
      <c r="C30" s="160" t="n">
        <f aca="false">State_Saturation_Raw!C30/State_Saturation_Raw!E30*100000</f>
        <v>33.5279977723771</v>
      </c>
      <c r="D30" s="132" t="n">
        <f aca="false">State_Saturation_Raw!F30/State_Saturation_Raw!D30</f>
        <v>0.530205630435827</v>
      </c>
      <c r="E30" s="132" t="n">
        <f aca="false">IF(State_Saturation_Raw!G30&gt;0,State_Saturation_Raw!E30/State_Saturation_Raw!G30-1,"")</f>
        <v>-0.218912104918964</v>
      </c>
      <c r="F30" s="180" t="n">
        <f aca="false">State_Saturation_Raw!B30/State_Saturation_Raw!C30</f>
        <v>746.299435028249</v>
      </c>
      <c r="G30" s="160" t="n">
        <f aca="false">IF(State_Saturation_Raw!H30&gt;0,State_Saturation_Raw!H30/State_Saturation_Raw!E30*1000,"")</f>
        <v>251.634253111758</v>
      </c>
      <c r="H30" s="132" t="n">
        <f aca="false">IF(State_Saturation_Raw!H30&gt;0,State_Saturation_Raw!B30/State_Saturation_Raw!H30-1,"")</f>
        <v>-0.00562322157149098</v>
      </c>
    </row>
    <row r="31" customFormat="false" ht="130.5" hidden="false" customHeight="true" outlineLevel="0" collapsed="false">
      <c r="A31" s="179" t="str">
        <f aca="false">State_Saturation_Raw!A31</f>
        <v>MP</v>
      </c>
      <c r="B31" s="160" t="n">
        <f aca="false">State_Saturation_Raw!B31/State_Saturation_Raw!E31*1000</f>
        <v>186.447993094519</v>
      </c>
      <c r="C31" s="160" t="n">
        <f aca="false">State_Saturation_Raw!C31/State_Saturation_Raw!E31*100000</f>
        <v>86.3185153215365</v>
      </c>
      <c r="D31" s="132" t="n">
        <f aca="false">State_Saturation_Raw!F31/State_Saturation_Raw!D31</f>
        <v>0.0124260355029586</v>
      </c>
      <c r="E31" s="132" t="str">
        <f aca="false">IF(State_Saturation_Raw!G31&gt;0,State_Saturation_Raw!E31/State_Saturation_Raw!G31-1,"")</f>
        <v/>
      </c>
      <c r="F31" s="180" t="n">
        <f aca="false">State_Saturation_Raw!B31/State_Saturation_Raw!C31</f>
        <v>216</v>
      </c>
      <c r="G31" s="160" t="str">
        <f aca="false">IF(State_Saturation_Raw!H31&gt;0,State_Saturation_Raw!H31/State_Saturation_Raw!E31*1000,"")</f>
        <v/>
      </c>
      <c r="H31" s="132" t="str">
        <f aca="false">IF(State_Saturation_Raw!H31&gt;0,State_Saturation_Raw!B31/State_Saturation_Raw!H31-1,"")</f>
        <v/>
      </c>
    </row>
    <row r="32" customFormat="false" ht="130.5" hidden="false" customHeight="true" outlineLevel="0" collapsed="false">
      <c r="A32" s="179" t="str">
        <f aca="false">State_Saturation_Raw!A32</f>
        <v>MS</v>
      </c>
      <c r="B32" s="160" t="n">
        <f aca="false">State_Saturation_Raw!B32/State_Saturation_Raw!E32*1000</f>
        <v>314.799846331156</v>
      </c>
      <c r="C32" s="160" t="n">
        <f aca="false">State_Saturation_Raw!C32/State_Saturation_Raw!E32*100000</f>
        <v>8.29811755666539</v>
      </c>
      <c r="D32" s="132" t="n">
        <f aca="false">State_Saturation_Raw!F32/State_Saturation_Raw!D32</f>
        <v>0.427758561590477</v>
      </c>
      <c r="E32" s="132" t="n">
        <f aca="false">IF(State_Saturation_Raw!G32&gt;0,State_Saturation_Raw!E32/State_Saturation_Raw!G32-1,"")</f>
        <v>-0.263745861929297</v>
      </c>
      <c r="F32" s="180" t="n">
        <f aca="false">State_Saturation_Raw!B32/State_Saturation_Raw!C32</f>
        <v>3793.62962962963</v>
      </c>
      <c r="G32" s="160" t="n">
        <f aca="false">IF(State_Saturation_Raw!H32&gt;0,State_Saturation_Raw!H32/State_Saturation_Raw!E32*1000,"")</f>
        <v>315.165578179024</v>
      </c>
      <c r="H32" s="132" t="n">
        <f aca="false">IF(State_Saturation_Raw!H32&gt;0,State_Saturation_Raw!B32/State_Saturation_Raw!H32-1,"")</f>
        <v>-0.00116044350395428</v>
      </c>
    </row>
    <row r="33" customFormat="false" ht="130.5" hidden="false" customHeight="true" outlineLevel="0" collapsed="false">
      <c r="A33" s="179" t="str">
        <f aca="false">State_Saturation_Raw!A33</f>
        <v>MT</v>
      </c>
      <c r="B33" s="160" t="n">
        <f aca="false">State_Saturation_Raw!B33/State_Saturation_Raw!E33*1000</f>
        <v>142.170796890185</v>
      </c>
      <c r="C33" s="160" t="n">
        <f aca="false">State_Saturation_Raw!C33/State_Saturation_Raw!E33*100000</f>
        <v>47.9834791059281</v>
      </c>
      <c r="D33" s="132" t="n">
        <f aca="false">State_Saturation_Raw!F33/State_Saturation_Raw!D33</f>
        <v>0.29489547477122</v>
      </c>
      <c r="E33" s="132" t="n">
        <f aca="false">IF(State_Saturation_Raw!G33&gt;0,State_Saturation_Raw!E33/State_Saturation_Raw!G33-1,"")</f>
        <v>-0.0181590482154039</v>
      </c>
      <c r="F33" s="180" t="n">
        <f aca="false">State_Saturation_Raw!B33/State_Saturation_Raw!C33</f>
        <v>296.291139240506</v>
      </c>
      <c r="G33" s="160" t="n">
        <f aca="false">IF(State_Saturation_Raw!H33&gt;0,State_Saturation_Raw!H33/State_Saturation_Raw!E33*1000,"")</f>
        <v>145.225947521866</v>
      </c>
      <c r="H33" s="132" t="n">
        <f aca="false">IF(State_Saturation_Raw!H33&gt;0,State_Saturation_Raw!B33/State_Saturation_Raw!H33-1,"")</f>
        <v>-0.0210372229192807</v>
      </c>
    </row>
    <row r="34" customFormat="false" ht="130.5" hidden="false" customHeight="true" outlineLevel="0" collapsed="false">
      <c r="A34" s="179" t="str">
        <f aca="false">State_Saturation_Raw!A34</f>
        <v>NC</v>
      </c>
      <c r="B34" s="160" t="n">
        <f aca="false">State_Saturation_Raw!B34/State_Saturation_Raw!E34*1000</f>
        <v>359.970968565355</v>
      </c>
      <c r="C34" s="160" t="n">
        <f aca="false">State_Saturation_Raw!C34/State_Saturation_Raw!E34*100000</f>
        <v>21.2912871582954</v>
      </c>
      <c r="D34" s="132" t="n">
        <f aca="false">State_Saturation_Raw!F34/State_Saturation_Raw!D34</f>
        <v>0.553306013478114</v>
      </c>
      <c r="E34" s="132" t="n">
        <f aca="false">IF(State_Saturation_Raw!G34&gt;0,State_Saturation_Raw!E34/State_Saturation_Raw!G34-1,"")</f>
        <v>-0.240127891822897</v>
      </c>
      <c r="F34" s="180" t="n">
        <f aca="false">State_Saturation_Raw!B34/State_Saturation_Raw!C34</f>
        <v>1690.69613259669</v>
      </c>
      <c r="G34" s="160" t="n">
        <f aca="false">IF(State_Saturation_Raw!H34&gt;0,State_Saturation_Raw!H34/State_Saturation_Raw!E34*1000,"")</f>
        <v>361.774258245669</v>
      </c>
      <c r="H34" s="132" t="n">
        <f aca="false">IF(State_Saturation_Raw!H34&gt;0,State_Saturation_Raw!B34/State_Saturation_Raw!H34-1,"")</f>
        <v>-0.00498457156420606</v>
      </c>
    </row>
    <row r="35" customFormat="false" ht="130.5" hidden="false" customHeight="true" outlineLevel="0" collapsed="false">
      <c r="A35" s="179" t="str">
        <f aca="false">State_Saturation_Raw!A35</f>
        <v>ND</v>
      </c>
      <c r="B35" s="160" t="n">
        <f aca="false">State_Saturation_Raw!B35/State_Saturation_Raw!E35*1000</f>
        <v>199.450717838704</v>
      </c>
      <c r="C35" s="160" t="n">
        <f aca="false">State_Saturation_Raw!C35/State_Saturation_Raw!E35*100000</f>
        <v>84.8676300714303</v>
      </c>
      <c r="D35" s="132" t="n">
        <f aca="false">State_Saturation_Raw!F35/State_Saturation_Raw!D35</f>
        <v>0.342505763756955</v>
      </c>
      <c r="E35" s="132" t="n">
        <f aca="false">IF(State_Saturation_Raw!G35&gt;0,State_Saturation_Raw!E35/State_Saturation_Raw!G35-1,"")</f>
        <v>-0.11400045951083</v>
      </c>
      <c r="F35" s="180" t="n">
        <f aca="false">State_Saturation_Raw!B35/State_Saturation_Raw!C35</f>
        <v>235.013888888889</v>
      </c>
      <c r="G35" s="160" t="n">
        <f aca="false">IF(State_Saturation_Raw!H35&gt;0,State_Saturation_Raw!H35/State_Saturation_Raw!E35*1000,"")</f>
        <v>207.54850420802</v>
      </c>
      <c r="H35" s="132" t="n">
        <f aca="false">IF(State_Saturation_Raw!H35&gt;0,State_Saturation_Raw!B35/State_Saturation_Raw!H35-1,"")</f>
        <v>-0.0390163562017265</v>
      </c>
    </row>
    <row r="36" customFormat="false" ht="130.5" hidden="false" customHeight="true" outlineLevel="0" collapsed="false">
      <c r="A36" s="179" t="str">
        <f aca="false">State_Saturation_Raw!A36</f>
        <v>NE</v>
      </c>
      <c r="B36" s="160" t="n">
        <f aca="false">State_Saturation_Raw!B36/State_Saturation_Raw!E36*1000</f>
        <v>466.212700292476</v>
      </c>
      <c r="C36" s="160" t="n">
        <f aca="false">State_Saturation_Raw!C36/State_Saturation_Raw!E36*100000</f>
        <v>78.9506737722273</v>
      </c>
      <c r="D36" s="132" t="n">
        <f aca="false">State_Saturation_Raw!F36/State_Saturation_Raw!D36</f>
        <v>0.337377970280258</v>
      </c>
      <c r="E36" s="132" t="n">
        <f aca="false">IF(State_Saturation_Raw!G36&gt;0,State_Saturation_Raw!E36/State_Saturation_Raw!G36-1,"")</f>
        <v>-0.138770842669716</v>
      </c>
      <c r="F36" s="180" t="n">
        <f aca="false">State_Saturation_Raw!B36/State_Saturation_Raw!C36</f>
        <v>590.511363636364</v>
      </c>
      <c r="G36" s="160" t="n">
        <f aca="false">IF(State_Saturation_Raw!H36&gt;0,State_Saturation_Raw!H36/State_Saturation_Raw!E36*1000,"")</f>
        <v>472.228203333872</v>
      </c>
      <c r="H36" s="132" t="n">
        <f aca="false">IF(State_Saturation_Raw!H36&gt;0,State_Saturation_Raw!B36/State_Saturation_Raw!H36-1,"")</f>
        <v>-0.0127385509779522</v>
      </c>
    </row>
    <row r="37" customFormat="false" ht="130.5" hidden="false" customHeight="true" outlineLevel="0" collapsed="false">
      <c r="A37" s="179" t="str">
        <f aca="false">State_Saturation_Raw!A37</f>
        <v>NH</v>
      </c>
      <c r="B37" s="160" t="n">
        <f aca="false">State_Saturation_Raw!B37/State_Saturation_Raw!E37*1000</f>
        <v>227.252991634015</v>
      </c>
      <c r="C37" s="160" t="n">
        <f aca="false">State_Saturation_Raw!C37/State_Saturation_Raw!E37*100000</f>
        <v>59.3031875463306</v>
      </c>
      <c r="D37" s="132" t="n">
        <f aca="false">State_Saturation_Raw!F37/State_Saturation_Raw!D37</f>
        <v>0.346262331104096</v>
      </c>
      <c r="E37" s="132" t="n">
        <f aca="false">IF(State_Saturation_Raw!G37&gt;0,State_Saturation_Raw!E37/State_Saturation_Raw!G37-1,"")</f>
        <v>-0.104542717475309</v>
      </c>
      <c r="F37" s="180" t="n">
        <f aca="false">State_Saturation_Raw!B37/State_Saturation_Raw!C37</f>
        <v>383.205357142857</v>
      </c>
      <c r="G37" s="160" t="n">
        <f aca="false">IF(State_Saturation_Raw!H37&gt;0,State_Saturation_Raw!H37/State_Saturation_Raw!E37*1000,"")</f>
        <v>230.207561156412</v>
      </c>
      <c r="H37" s="132" t="n">
        <f aca="false">IF(State_Saturation_Raw!H37&gt;0,State_Saturation_Raw!B37/State_Saturation_Raw!H37-1,"")</f>
        <v>-0.0128343721967937</v>
      </c>
    </row>
    <row r="38" customFormat="false" ht="130.5" hidden="false" customHeight="true" outlineLevel="0" collapsed="false">
      <c r="A38" s="179" t="str">
        <f aca="false">State_Saturation_Raw!A38</f>
        <v>NJ</v>
      </c>
      <c r="B38" s="160" t="n">
        <f aca="false">State_Saturation_Raw!B38/State_Saturation_Raw!E38*1000</f>
        <v>459.180262690306</v>
      </c>
      <c r="C38" s="160" t="n">
        <f aca="false">State_Saturation_Raw!C38/State_Saturation_Raw!E38*100000</f>
        <v>28.8516007360677</v>
      </c>
      <c r="D38" s="132" t="n">
        <f aca="false">State_Saturation_Raw!F38/State_Saturation_Raw!D38</f>
        <v>0.402985471512476</v>
      </c>
      <c r="E38" s="132" t="n">
        <f aca="false">IF(State_Saturation_Raw!G38&gt;0,State_Saturation_Raw!E38/State_Saturation_Raw!G38-1,"")</f>
        <v>-0.101296136045273</v>
      </c>
      <c r="F38" s="180" t="n">
        <f aca="false">State_Saturation_Raw!B38/State_Saturation_Raw!C38</f>
        <v>1591.5243902439</v>
      </c>
      <c r="G38" s="160" t="n">
        <f aca="false">IF(State_Saturation_Raw!H38&gt;0,State_Saturation_Raw!H38/State_Saturation_Raw!E38*1000,"")</f>
        <v>469.680603397217</v>
      </c>
      <c r="H38" s="132" t="n">
        <f aca="false">IF(State_Saturation_Raw!H38&gt;0,State_Saturation_Raw!B38/State_Saturation_Raw!H38-1,"")</f>
        <v>-0.022356343078598</v>
      </c>
    </row>
    <row r="39" customFormat="false" ht="130.5" hidden="false" customHeight="true" outlineLevel="0" collapsed="false">
      <c r="A39" s="179" t="str">
        <f aca="false">State_Saturation_Raw!A39</f>
        <v>NM</v>
      </c>
      <c r="B39" s="160" t="n">
        <f aca="false">State_Saturation_Raw!B39/State_Saturation_Raw!E39*1000</f>
        <v>210.454854039375</v>
      </c>
      <c r="C39" s="160" t="n">
        <f aca="false">State_Saturation_Raw!C39/State_Saturation_Raw!E39*100000</f>
        <v>31.333228889237</v>
      </c>
      <c r="D39" s="132" t="n">
        <f aca="false">State_Saturation_Raw!F39/State_Saturation_Raw!D39</f>
        <v>0.497032663387149</v>
      </c>
      <c r="E39" s="132" t="n">
        <f aca="false">IF(State_Saturation_Raw!G39&gt;0,State_Saturation_Raw!E39/State_Saturation_Raw!G39-1,"")</f>
        <v>-0.158681411380142</v>
      </c>
      <c r="F39" s="180" t="n">
        <f aca="false">State_Saturation_Raw!B39/State_Saturation_Raw!C39</f>
        <v>671.666666666667</v>
      </c>
      <c r="G39" s="160" t="n">
        <f aca="false">IF(State_Saturation_Raw!H39&gt;0,State_Saturation_Raw!H39/State_Saturation_Raw!E39*1000,"")</f>
        <v>212.51762494125</v>
      </c>
      <c r="H39" s="132" t="n">
        <f aca="false">IF(State_Saturation_Raw!H39&gt;0,State_Saturation_Raw!B39/State_Saturation_Raw!H39-1,"")</f>
        <v>-0.00970635213171156</v>
      </c>
    </row>
    <row r="40" customFormat="false" ht="130.5" hidden="false" customHeight="true" outlineLevel="0" collapsed="false">
      <c r="A40" s="179" t="str">
        <f aca="false">State_Saturation_Raw!A40</f>
        <v>NV</v>
      </c>
      <c r="B40" s="160" t="n">
        <f aca="false">State_Saturation_Raw!B40/State_Saturation_Raw!E40*1000</f>
        <v>280.338715963197</v>
      </c>
      <c r="C40" s="160" t="n">
        <f aca="false">State_Saturation_Raw!C40/State_Saturation_Raw!E40*100000</f>
        <v>16.5206635376248</v>
      </c>
      <c r="D40" s="132" t="n">
        <f aca="false">State_Saturation_Raw!F40/State_Saturation_Raw!D40</f>
        <v>0.507496112696976</v>
      </c>
      <c r="E40" s="132" t="n">
        <f aca="false">IF(State_Saturation_Raw!G40&gt;0,State_Saturation_Raw!E40/State_Saturation_Raw!G40-1,"")</f>
        <v>-0.136802922323672</v>
      </c>
      <c r="F40" s="180" t="n">
        <f aca="false">State_Saturation_Raw!B40/State_Saturation_Raw!C40</f>
        <v>1696.89743589744</v>
      </c>
      <c r="G40" s="160" t="n">
        <f aca="false">IF(State_Saturation_Raw!H40&gt;0,State_Saturation_Raw!H40/State_Saturation_Raw!E40*1000,"")</f>
        <v>281.160513072505</v>
      </c>
      <c r="H40" s="132" t="n">
        <f aca="false">IF(State_Saturation_Raw!H40&gt;0,State_Saturation_Raw!B40/State_Saturation_Raw!H40-1,"")</f>
        <v>-0.00292287526554469</v>
      </c>
    </row>
    <row r="41" customFormat="false" ht="130.5" hidden="false" customHeight="true" outlineLevel="0" collapsed="false">
      <c r="A41" s="179" t="str">
        <f aca="false">State_Saturation_Raw!A41</f>
        <v>NY</v>
      </c>
      <c r="B41" s="160" t="n">
        <f aca="false">State_Saturation_Raw!B41/State_Saturation_Raw!E41*1000</f>
        <v>377.268482393236</v>
      </c>
      <c r="C41" s="160" t="n">
        <f aca="false">State_Saturation_Raw!C41/State_Saturation_Raw!E41*100000</f>
        <v>36.4886619358285</v>
      </c>
      <c r="D41" s="132" t="n">
        <f aca="false">State_Saturation_Raw!F41/State_Saturation_Raw!D41</f>
        <v>0.521429034873462</v>
      </c>
      <c r="E41" s="132" t="n">
        <f aca="false">IF(State_Saturation_Raw!G41&gt;0,State_Saturation_Raw!E41/State_Saturation_Raw!G41-1,"")</f>
        <v>-0.125238530445785</v>
      </c>
      <c r="F41" s="180" t="n">
        <f aca="false">State_Saturation_Raw!B41/State_Saturation_Raw!C41</f>
        <v>1033.93345323741</v>
      </c>
      <c r="G41" s="160" t="n">
        <f aca="false">IF(State_Saturation_Raw!H41&gt;0,State_Saturation_Raw!H41/State_Saturation_Raw!E41*1000,"")</f>
        <v>379.719654197738</v>
      </c>
      <c r="H41" s="132" t="n">
        <f aca="false">IF(State_Saturation_Raw!H41&gt;0,State_Saturation_Raw!B41/State_Saturation_Raw!H41-1,"")</f>
        <v>-0.00645521446521102</v>
      </c>
    </row>
    <row r="42" customFormat="false" ht="130.5" hidden="false" customHeight="true" outlineLevel="0" collapsed="false">
      <c r="A42" s="179" t="str">
        <f aca="false">State_Saturation_Raw!A42</f>
        <v>OH</v>
      </c>
      <c r="B42" s="160" t="n">
        <f aca="false">State_Saturation_Raw!B42/State_Saturation_Raw!E42*1000</f>
        <v>384.595246912792</v>
      </c>
      <c r="C42" s="160" t="n">
        <f aca="false">State_Saturation_Raw!C42/State_Saturation_Raw!E42*100000</f>
        <v>84.6029090630467</v>
      </c>
      <c r="D42" s="132" t="n">
        <f aca="false">State_Saturation_Raw!F42/State_Saturation_Raw!D42</f>
        <v>0.557523624183089</v>
      </c>
      <c r="E42" s="132" t="n">
        <f aca="false">IF(State_Saturation_Raw!G42&gt;0,State_Saturation_Raw!E42/State_Saturation_Raw!G42-1,"")</f>
        <v>-0.179858940667278</v>
      </c>
      <c r="F42" s="180" t="n">
        <f aca="false">State_Saturation_Raw!B42/State_Saturation_Raw!C42</f>
        <v>454.588679245283</v>
      </c>
      <c r="G42" s="160" t="n">
        <f aca="false">IF(State_Saturation_Raw!H42&gt;0,State_Saturation_Raw!H42/State_Saturation_Raw!E42*1000,"")</f>
        <v>388.946709744978</v>
      </c>
      <c r="H42" s="132" t="n">
        <f aca="false">IF(State_Saturation_Raw!H42&gt;0,State_Saturation_Raw!B42/State_Saturation_Raw!H42-1,"")</f>
        <v>-0.011187812425613</v>
      </c>
    </row>
    <row r="43" customFormat="false" ht="130.5" hidden="false" customHeight="true" outlineLevel="0" collapsed="false">
      <c r="A43" s="179" t="str">
        <f aca="false">State_Saturation_Raw!A43</f>
        <v>OK</v>
      </c>
      <c r="B43" s="160" t="n">
        <f aca="false">State_Saturation_Raw!B43/State_Saturation_Raw!E43*1000</f>
        <v>298.767635767905</v>
      </c>
      <c r="C43" s="160" t="n">
        <f aca="false">State_Saturation_Raw!C43/State_Saturation_Raw!E43*100000</f>
        <v>25.1852214098834</v>
      </c>
      <c r="D43" s="132" t="n">
        <f aca="false">State_Saturation_Raw!F43/State_Saturation_Raw!D43</f>
        <v>0.40354647838764</v>
      </c>
      <c r="E43" s="132" t="n">
        <f aca="false">IF(State_Saturation_Raw!G43&gt;0,State_Saturation_Raw!E43/State_Saturation_Raw!G43-1,"")</f>
        <v>-0.199720566537647</v>
      </c>
      <c r="F43" s="180" t="n">
        <f aca="false">State_Saturation_Raw!B43/State_Saturation_Raw!C43</f>
        <v>1186.28155339806</v>
      </c>
      <c r="G43" s="160" t="n">
        <f aca="false">IF(State_Saturation_Raw!H43&gt;0,State_Saturation_Raw!H43/State_Saturation_Raw!E43*1000,"")</f>
        <v>300.176052033156</v>
      </c>
      <c r="H43" s="132" t="n">
        <f aca="false">IF(State_Saturation_Raw!H43&gt;0,State_Saturation_Raw!B43/State_Saturation_Raw!H43-1,"")</f>
        <v>-0.00469196744947586</v>
      </c>
    </row>
    <row r="44" customFormat="false" ht="130.5" hidden="false" customHeight="true" outlineLevel="0" collapsed="false">
      <c r="A44" s="179" t="str">
        <f aca="false">State_Saturation_Raw!A44</f>
        <v>OR</v>
      </c>
      <c r="B44" s="160" t="n">
        <f aca="false">State_Saturation_Raw!B44/State_Saturation_Raw!E44*1000</f>
        <v>251.630836826649</v>
      </c>
      <c r="C44" s="160" t="n">
        <f aca="false">State_Saturation_Raw!C44/State_Saturation_Raw!E44*100000</f>
        <v>29.1421013696788</v>
      </c>
      <c r="D44" s="132" t="n">
        <f aca="false">State_Saturation_Raw!F44/State_Saturation_Raw!D44</f>
        <v>0.54644378358549</v>
      </c>
      <c r="E44" s="132" t="n">
        <f aca="false">IF(State_Saturation_Raw!G44&gt;0,State_Saturation_Raw!E44/State_Saturation_Raw!G44-1,"")</f>
        <v>-0.106763748132166</v>
      </c>
      <c r="F44" s="180" t="n">
        <f aca="false">State_Saturation_Raw!B44/State_Saturation_Raw!C44</f>
        <v>863.461538461539</v>
      </c>
      <c r="G44" s="160" t="n">
        <f aca="false">IF(State_Saturation_Raw!H44&gt;0,State_Saturation_Raw!H44/State_Saturation_Raw!E44*1000,"")</f>
        <v>253.256069403035</v>
      </c>
      <c r="H44" s="132" t="n">
        <f aca="false">IF(State_Saturation_Raw!H44&gt;0,State_Saturation_Raw!B44/State_Saturation_Raw!H44-1,"")</f>
        <v>-0.00641734897101132</v>
      </c>
    </row>
    <row r="45" customFormat="false" ht="130.5" hidden="false" customHeight="true" outlineLevel="0" collapsed="false">
      <c r="A45" s="179" t="str">
        <f aca="false">State_Saturation_Raw!A45</f>
        <v>PA</v>
      </c>
      <c r="B45" s="160" t="n">
        <f aca="false">State_Saturation_Raw!B45/State_Saturation_Raw!E45*1000</f>
        <v>347.982413407372</v>
      </c>
      <c r="C45" s="160" t="n">
        <f aca="false">State_Saturation_Raw!C45/State_Saturation_Raw!E45*100000</f>
        <v>49.5027423294801</v>
      </c>
      <c r="D45" s="132" t="n">
        <f aca="false">State_Saturation_Raw!F45/State_Saturation_Raw!D45</f>
        <v>0.529061938578497</v>
      </c>
      <c r="E45" s="132" t="n">
        <f aca="false">IF(State_Saturation_Raw!G45&gt;0,State_Saturation_Raw!E45/State_Saturation_Raw!G45-1,"")</f>
        <v>-0.141056210635127</v>
      </c>
      <c r="F45" s="180" t="n">
        <f aca="false">State_Saturation_Raw!B45/State_Saturation_Raw!C45</f>
        <v>702.955830388693</v>
      </c>
      <c r="G45" s="160" t="n">
        <f aca="false">IF(State_Saturation_Raw!H45&gt;0,State_Saturation_Raw!H45/State_Saturation_Raw!E45*1000,"")</f>
        <v>352.01522515439</v>
      </c>
      <c r="H45" s="132" t="n">
        <f aca="false">IF(State_Saturation_Raw!H45&gt;0,State_Saturation_Raw!B45/State_Saturation_Raw!H45-1,"")</f>
        <v>-0.0114563560290596</v>
      </c>
    </row>
    <row r="46" customFormat="false" ht="130.5" hidden="false" customHeight="true" outlineLevel="0" collapsed="false">
      <c r="A46" s="179" t="str">
        <f aca="false">State_Saturation_Raw!A46</f>
        <v>PR</v>
      </c>
      <c r="B46" s="160" t="n">
        <f aca="false">State_Saturation_Raw!B46/State_Saturation_Raw!E46*1000</f>
        <v>125.907258064516</v>
      </c>
      <c r="C46" s="160" t="n">
        <f aca="false">State_Saturation_Raw!C46/State_Saturation_Raw!E46*100000</f>
        <v>231.854838709677</v>
      </c>
      <c r="D46" s="132" t="n">
        <f aca="false">State_Saturation_Raw!F46/State_Saturation_Raw!D46</f>
        <v>0.853567602369636</v>
      </c>
      <c r="E46" s="132" t="n">
        <f aca="false">IF(State_Saturation_Raw!G46&gt;0,State_Saturation_Raw!E46/State_Saturation_Raw!G46-1,"")</f>
        <v>-0.43326160233094</v>
      </c>
      <c r="F46" s="180" t="n">
        <f aca="false">State_Saturation_Raw!B46/State_Saturation_Raw!C46</f>
        <v>54.304347826087</v>
      </c>
      <c r="G46" s="160" t="n">
        <f aca="false">IF(State_Saturation_Raw!H46&gt;0,State_Saturation_Raw!H46/State_Saturation_Raw!E46*1000,"")</f>
        <v>175.840053763441</v>
      </c>
      <c r="H46" s="132" t="n">
        <f aca="false">IF(State_Saturation_Raw!H46&gt;0,State_Saturation_Raw!B46/State_Saturation_Raw!H46-1,"")</f>
        <v>-0.283967131664437</v>
      </c>
    </row>
    <row r="47" customFormat="false" ht="130.5" hidden="false" customHeight="true" outlineLevel="0" collapsed="false">
      <c r="A47" s="179" t="str">
        <f aca="false">State_Saturation_Raw!A47</f>
        <v>RI</v>
      </c>
      <c r="B47" s="160" t="n">
        <f aca="false">State_Saturation_Raw!B47/State_Saturation_Raw!E47*1000</f>
        <v>451.886602774613</v>
      </c>
      <c r="C47" s="160" t="n">
        <f aca="false">State_Saturation_Raw!C47/State_Saturation_Raw!E47*100000</f>
        <v>64.3388512834261</v>
      </c>
      <c r="D47" s="132" t="n">
        <f aca="false">State_Saturation_Raw!F47/State_Saturation_Raw!D47</f>
        <v>0.590909651354428</v>
      </c>
      <c r="E47" s="132" t="n">
        <f aca="false">IF(State_Saturation_Raw!G47&gt;0,State_Saturation_Raw!E47/State_Saturation_Raw!G47-1,"")</f>
        <v>-0.206574567420689</v>
      </c>
      <c r="F47" s="180" t="n">
        <f aca="false">State_Saturation_Raw!B47/State_Saturation_Raw!C47</f>
        <v>702.354166666667</v>
      </c>
      <c r="G47" s="160" t="n">
        <f aca="false">IF(State_Saturation_Raw!H47&gt;0,State_Saturation_Raw!H47/State_Saturation_Raw!E47*1000,"")</f>
        <v>454.621003954159</v>
      </c>
      <c r="H47" s="132" t="n">
        <f aca="false">IF(State_Saturation_Raw!H47&gt;0,State_Saturation_Raw!B47/State_Saturation_Raw!H47-1,"")</f>
        <v>-0.00601468290237939</v>
      </c>
    </row>
    <row r="48" customFormat="false" ht="130.5" hidden="false" customHeight="true" outlineLevel="0" collapsed="false">
      <c r="A48" s="179" t="str">
        <f aca="false">State_Saturation_Raw!A48</f>
        <v>SC</v>
      </c>
      <c r="B48" s="160" t="n">
        <f aca="false">State_Saturation_Raw!B48/State_Saturation_Raw!E48*1000</f>
        <v>500.177718500665</v>
      </c>
      <c r="C48" s="160" t="n">
        <f aca="false">State_Saturation_Raw!C48/State_Saturation_Raw!E48*100000</f>
        <v>17.7718500665175</v>
      </c>
      <c r="D48" s="132" t="n">
        <f aca="false">State_Saturation_Raw!F48/State_Saturation_Raw!D48</f>
        <v>0.453510126591533</v>
      </c>
      <c r="E48" s="132" t="n">
        <f aca="false">IF(State_Saturation_Raw!G48&gt;0,State_Saturation_Raw!E48/State_Saturation_Raw!G48-1,"")</f>
        <v>-0.133204032769184</v>
      </c>
      <c r="F48" s="180" t="n">
        <f aca="false">State_Saturation_Raw!B48/State_Saturation_Raw!C48</f>
        <v>2814.4380952381</v>
      </c>
      <c r="G48" s="160" t="n">
        <f aca="false">IF(State_Saturation_Raw!H48&gt;0,State_Saturation_Raw!H48/State_Saturation_Raw!E48*1000,"")</f>
        <v>503.89626655744</v>
      </c>
      <c r="H48" s="132" t="n">
        <f aca="false">IF(State_Saturation_Raw!H48&gt;0,State_Saturation_Raw!B48/State_Saturation_Raw!H48-1,"")</f>
        <v>-0.00737959041089908</v>
      </c>
    </row>
    <row r="49" customFormat="false" ht="130.5" hidden="false" customHeight="true" outlineLevel="0" collapsed="false">
      <c r="A49" s="179" t="str">
        <f aca="false">State_Saturation_Raw!A49</f>
        <v>SD</v>
      </c>
      <c r="B49" s="160" t="n">
        <f aca="false">State_Saturation_Raw!B49/State_Saturation_Raw!E49*1000</f>
        <v>202.161606692147</v>
      </c>
      <c r="C49" s="160" t="n">
        <f aca="false">State_Saturation_Raw!C49/State_Saturation_Raw!E49*100000</f>
        <v>82.0292781423523</v>
      </c>
      <c r="D49" s="132" t="n">
        <f aca="false">State_Saturation_Raw!F49/State_Saturation_Raw!D49</f>
        <v>0.359682558889965</v>
      </c>
      <c r="E49" s="132" t="n">
        <f aca="false">IF(State_Saturation_Raw!G49&gt;0,State_Saturation_Raw!E49/State_Saturation_Raw!G49-1,"")</f>
        <v>-0.105729855222004</v>
      </c>
      <c r="F49" s="180" t="n">
        <f aca="false">State_Saturation_Raw!B49/State_Saturation_Raw!C49</f>
        <v>246.450549450549</v>
      </c>
      <c r="G49" s="160" t="n">
        <f aca="false">IF(State_Saturation_Raw!H49&gt;0,State_Saturation_Raw!H49/State_Saturation_Raw!E49*1000,"")</f>
        <v>207.074349174299</v>
      </c>
      <c r="H49" s="132" t="n">
        <f aca="false">IF(State_Saturation_Raw!H49&gt;0,State_Saturation_Raw!B49/State_Saturation_Raw!H49-1,"")</f>
        <v>-0.0237245342155668</v>
      </c>
    </row>
    <row r="50" customFormat="false" ht="130.5" hidden="false" customHeight="true" outlineLevel="0" collapsed="false">
      <c r="A50" s="179" t="str">
        <f aca="false">State_Saturation_Raw!A50</f>
        <v>TN</v>
      </c>
      <c r="B50" s="160" t="n">
        <f aca="false">State_Saturation_Raw!B50/State_Saturation_Raw!E50*1000</f>
        <v>399.90370113126</v>
      </c>
      <c r="C50" s="160" t="n">
        <f aca="false">State_Saturation_Raw!C50/State_Saturation_Raw!E50*100000</f>
        <v>18.286718976749</v>
      </c>
      <c r="D50" s="132" t="n">
        <f aca="false">State_Saturation_Raw!F50/State_Saturation_Raw!D50</f>
        <v>0.523797228387055</v>
      </c>
      <c r="E50" s="132" t="n">
        <f aca="false">IF(State_Saturation_Raw!G50&gt;0,State_Saturation_Raw!E50/State_Saturation_Raw!G50-1,"")</f>
        <v>-0.166807381666606</v>
      </c>
      <c r="F50" s="180" t="n">
        <f aca="false">State_Saturation_Raw!B50/State_Saturation_Raw!C50</f>
        <v>2186.85321100917</v>
      </c>
      <c r="G50" s="160" t="n">
        <f aca="false">IF(State_Saturation_Raw!H50&gt;0,State_Saturation_Raw!H50/State_Saturation_Raw!E50*1000,"")</f>
        <v>403.136591724673</v>
      </c>
      <c r="H50" s="132" t="n">
        <f aca="false">IF(State_Saturation_Raw!H50&gt;0,State_Saturation_Raw!B50/State_Saturation_Raw!H50-1,"")</f>
        <v>-0.00801934297152651</v>
      </c>
    </row>
    <row r="51" customFormat="false" ht="130.5" hidden="false" customHeight="true" outlineLevel="0" collapsed="false">
      <c r="A51" s="179" t="str">
        <f aca="false">State_Saturation_Raw!A51</f>
        <v>TX</v>
      </c>
      <c r="B51" s="160" t="n">
        <f aca="false">State_Saturation_Raw!B51/State_Saturation_Raw!E51*1000</f>
        <v>388.926751008485</v>
      </c>
      <c r="C51" s="160" t="n">
        <f aca="false">State_Saturation_Raw!C51/State_Saturation_Raw!E51*100000</f>
        <v>29.0885098714254</v>
      </c>
      <c r="D51" s="132" t="n">
        <f aca="false">State_Saturation_Raw!F51/State_Saturation_Raw!D51</f>
        <v>0.53415554088317</v>
      </c>
      <c r="E51" s="132" t="n">
        <f aca="false">IF(State_Saturation_Raw!G51&gt;0,State_Saturation_Raw!E51/State_Saturation_Raw!G51-1,"")</f>
        <v>-0.155687450745145</v>
      </c>
      <c r="F51" s="180" t="n">
        <f aca="false">State_Saturation_Raw!B51/State_Saturation_Raw!C51</f>
        <v>1337.04597701149</v>
      </c>
      <c r="G51" s="160" t="n">
        <f aca="false">IF(State_Saturation_Raw!H51&gt;0,State_Saturation_Raw!H51/State_Saturation_Raw!E51*1000,"")</f>
        <v>400.020506842208</v>
      </c>
      <c r="H51" s="132" t="n">
        <f aca="false">IF(State_Saturation_Raw!H51&gt;0,State_Saturation_Raw!B51/State_Saturation_Raw!H51-1,"")</f>
        <v>-0.027732967795321</v>
      </c>
    </row>
    <row r="52" customFormat="false" ht="130.5" hidden="false" customHeight="true" outlineLevel="0" collapsed="false">
      <c r="A52" s="179" t="str">
        <f aca="false">State_Saturation_Raw!A52</f>
        <v>UT</v>
      </c>
      <c r="B52" s="160" t="n">
        <f aca="false">State_Saturation_Raw!B52/State_Saturation_Raw!E52*1000</f>
        <v>177.371809789776</v>
      </c>
      <c r="C52" s="160" t="n">
        <f aca="false">State_Saturation_Raw!C52/State_Saturation_Raw!E52*100000</f>
        <v>39.3408468809912</v>
      </c>
      <c r="D52" s="132" t="n">
        <f aca="false">State_Saturation_Raw!F52/State_Saturation_Raw!D52</f>
        <v>0.518096080291564</v>
      </c>
      <c r="E52" s="132" t="n">
        <f aca="false">IF(State_Saturation_Raw!G52&gt;0,State_Saturation_Raw!E52/State_Saturation_Raw!G52-1,"")</f>
        <v>-0.140665473106811</v>
      </c>
      <c r="F52" s="180" t="n">
        <f aca="false">State_Saturation_Raw!B52/State_Saturation_Raw!C52</f>
        <v>450.859154929577</v>
      </c>
      <c r="G52" s="160" t="n">
        <f aca="false">IF(State_Saturation_Raw!H52&gt;0,State_Saturation_Raw!H52/State_Saturation_Raw!E52*1000,"")</f>
        <v>179.28898345468</v>
      </c>
      <c r="H52" s="132" t="n">
        <f aca="false">IF(State_Saturation_Raw!H52&gt;0,State_Saturation_Raw!B52/State_Saturation_Raw!H52-1,"")</f>
        <v>-0.0106932039435053</v>
      </c>
    </row>
    <row r="53" customFormat="false" ht="130.5" hidden="false" customHeight="true" outlineLevel="0" collapsed="false">
      <c r="A53" s="179" t="str">
        <f aca="false">State_Saturation_Raw!A53</f>
        <v>VA</v>
      </c>
      <c r="B53" s="160" t="n">
        <f aca="false">State_Saturation_Raw!B53/State_Saturation_Raw!E53*1000</f>
        <v>278.476250339805</v>
      </c>
      <c r="C53" s="160" t="n">
        <f aca="false">State_Saturation_Raw!C53/State_Saturation_Raw!E53*100000</f>
        <v>27.1844170204273</v>
      </c>
      <c r="D53" s="132" t="n">
        <f aca="false">State_Saturation_Raw!F53/State_Saturation_Raw!D53</f>
        <v>0.381122848408832</v>
      </c>
      <c r="E53" s="132" t="n">
        <f aca="false">IF(State_Saturation_Raw!G53&gt;0,State_Saturation_Raw!E53/State_Saturation_Raw!G53-1,"")</f>
        <v>-0.147768939841973</v>
      </c>
      <c r="F53" s="180" t="n">
        <f aca="false">State_Saturation_Raw!B53/State_Saturation_Raw!C53</f>
        <v>1024.39662447257</v>
      </c>
      <c r="G53" s="160" t="n">
        <f aca="false">IF(State_Saturation_Raw!H53&gt;0,State_Saturation_Raw!H53/State_Saturation_Raw!E53*1000,"")</f>
        <v>279.639330460426</v>
      </c>
      <c r="H53" s="132" t="n">
        <f aca="false">IF(State_Saturation_Raw!H53&gt;0,State_Saturation_Raw!B53/State_Saturation_Raw!H53-1,"")</f>
        <v>-0.00415921508146155</v>
      </c>
    </row>
    <row r="54" customFormat="false" ht="130.5" hidden="false" customHeight="true" outlineLevel="0" collapsed="false">
      <c r="A54" s="179" t="str">
        <f aca="false">State_Saturation_Raw!A54</f>
        <v>VI</v>
      </c>
      <c r="B54" s="160" t="n">
        <f aca="false">State_Saturation_Raw!B54/State_Saturation_Raw!E54*1000</f>
        <v>60.794143391422</v>
      </c>
      <c r="C54" s="160" t="n">
        <f aca="false">State_Saturation_Raw!C54/State_Saturation_Raw!E54*100000</f>
        <v>15.9146972228853</v>
      </c>
      <c r="D54" s="132" t="n">
        <f aca="false">State_Saturation_Raw!F54/State_Saturation_Raw!D54</f>
        <v>0.301865136298422</v>
      </c>
      <c r="E54" s="132" t="n">
        <f aca="false">IF(State_Saturation_Raw!G54&gt;0,State_Saturation_Raw!E54/State_Saturation_Raw!G54-1,"")</f>
        <v>-0.283890819989743</v>
      </c>
      <c r="F54" s="180" t="n">
        <f aca="false">State_Saturation_Raw!B54/State_Saturation_Raw!C54</f>
        <v>382</v>
      </c>
      <c r="G54" s="160" t="n">
        <f aca="false">IF(State_Saturation_Raw!H54&gt;0,State_Saturation_Raw!H54/State_Saturation_Raw!E54*1000,"")</f>
        <v>60.794143391422</v>
      </c>
      <c r="H54" s="132" t="n">
        <f aca="false">IF(State_Saturation_Raw!H54&gt;0,State_Saturation_Raw!B54/State_Saturation_Raw!H54-1,"")</f>
        <v>0</v>
      </c>
    </row>
    <row r="55" customFormat="false" ht="130.5" hidden="false" customHeight="true" outlineLevel="0" collapsed="false">
      <c r="A55" s="179" t="str">
        <f aca="false">State_Saturation_Raw!A55</f>
        <v>VT</v>
      </c>
      <c r="B55" s="160" t="n">
        <f aca="false">State_Saturation_Raw!B55/State_Saturation_Raw!E55*1000</f>
        <v>322.262420382166</v>
      </c>
      <c r="C55" s="160" t="n">
        <f aca="false">State_Saturation_Raw!C55/State_Saturation_Raw!E55*100000</f>
        <v>63.1847133757962</v>
      </c>
      <c r="D55" s="132" t="n">
        <f aca="false">State_Saturation_Raw!F55/State_Saturation_Raw!D55</f>
        <v>0.324569526403389</v>
      </c>
      <c r="E55" s="132" t="n">
        <f aca="false">IF(State_Saturation_Raw!G55&gt;0,State_Saturation_Raw!E55/State_Saturation_Raw!G55-1,"")</f>
        <v>-0.158779555235499</v>
      </c>
      <c r="F55" s="180" t="n">
        <f aca="false">State_Saturation_Raw!B55/State_Saturation_Raw!C55</f>
        <v>510.032258064516</v>
      </c>
      <c r="G55" s="160" t="n">
        <f aca="false">IF(State_Saturation_Raw!H55&gt;0,State_Saturation_Raw!H55/State_Saturation_Raw!E55*1000,"")</f>
        <v>325.676433121019</v>
      </c>
      <c r="H55" s="132" t="n">
        <f aca="false">IF(State_Saturation_Raw!H55&gt;0,State_Saturation_Raw!B55/State_Saturation_Raw!H55-1,"")</f>
        <v>-0.0104828363112933</v>
      </c>
    </row>
    <row r="56" customFormat="false" ht="130.5" hidden="false" customHeight="true" outlineLevel="0" collapsed="false">
      <c r="A56" s="179" t="str">
        <f aca="false">State_Saturation_Raw!A56</f>
        <v>WA</v>
      </c>
      <c r="B56" s="160" t="n">
        <f aca="false">State_Saturation_Raw!B56/State_Saturation_Raw!E56*1000</f>
        <v>246.671693654335</v>
      </c>
      <c r="C56" s="160" t="n">
        <f aca="false">State_Saturation_Raw!C56/State_Saturation_Raw!E56*100000</f>
        <v>28.4517137104611</v>
      </c>
      <c r="D56" s="132" t="n">
        <f aca="false">State_Saturation_Raw!F56/State_Saturation_Raw!D56</f>
        <v>0.486690009585161</v>
      </c>
      <c r="E56" s="132" t="n">
        <f aca="false">IF(State_Saturation_Raw!G56&gt;0,State_Saturation_Raw!E56/State_Saturation_Raw!G56-1,"")</f>
        <v>-0.167192139019915</v>
      </c>
      <c r="F56" s="180" t="n">
        <f aca="false">State_Saturation_Raw!B56/State_Saturation_Raw!C56</f>
        <v>866.983606557377</v>
      </c>
      <c r="G56" s="160" t="n">
        <f aca="false">IF(State_Saturation_Raw!H56&gt;0,State_Saturation_Raw!H56/State_Saturation_Raw!E56*1000,"")</f>
        <v>247.867287525556</v>
      </c>
      <c r="H56" s="132" t="n">
        <f aca="false">IF(State_Saturation_Raw!H56&gt;0,State_Saturation_Raw!B56/State_Saturation_Raw!H56-1,"")</f>
        <v>-0.00482352424620669</v>
      </c>
    </row>
    <row r="57" customFormat="false" ht="130.5" hidden="false" customHeight="true" outlineLevel="0" collapsed="false">
      <c r="A57" s="179" t="str">
        <f aca="false">State_Saturation_Raw!A57</f>
        <v>WI</v>
      </c>
      <c r="B57" s="160" t="n">
        <f aca="false">State_Saturation_Raw!B57/State_Saturation_Raw!E57*1000</f>
        <v>272.069164028126</v>
      </c>
      <c r="C57" s="160" t="n">
        <f aca="false">State_Saturation_Raw!C57/State_Saturation_Raw!E57*100000</f>
        <v>62.0913688885234</v>
      </c>
      <c r="D57" s="132" t="n">
        <f aca="false">State_Saturation_Raw!F57/State_Saturation_Raw!D57</f>
        <v>0.569114530740574</v>
      </c>
      <c r="E57" s="132" t="n">
        <f aca="false">IF(State_Saturation_Raw!G57&gt;0,State_Saturation_Raw!E57/State_Saturation_Raw!G57-1,"")</f>
        <v>-0.167109044019686</v>
      </c>
      <c r="F57" s="180" t="n">
        <f aca="false">State_Saturation_Raw!B57/State_Saturation_Raw!C57</f>
        <v>438.175496688742</v>
      </c>
      <c r="G57" s="160" t="n">
        <f aca="false">IF(State_Saturation_Raw!H57&gt;0,State_Saturation_Raw!H57/State_Saturation_Raw!E57*1000,"")</f>
        <v>275.317652864016</v>
      </c>
      <c r="H57" s="132" t="n">
        <f aca="false">IF(State_Saturation_Raw!H57&gt;0,State_Saturation_Raw!B57/State_Saturation_Raw!H57-1,"")</f>
        <v>-0.0117990575689461</v>
      </c>
    </row>
    <row r="58" customFormat="false" ht="130.5" hidden="false" customHeight="true" outlineLevel="0" collapsed="false">
      <c r="A58" s="179" t="str">
        <f aca="false">State_Saturation_Raw!A58</f>
        <v>WV</v>
      </c>
      <c r="B58" s="160" t="n">
        <f aca="false">State_Saturation_Raw!B58/State_Saturation_Raw!E58*1000</f>
        <v>514.163840580921</v>
      </c>
      <c r="C58" s="160" t="n">
        <f aca="false">State_Saturation_Raw!C58/State_Saturation_Raw!E58*100000</f>
        <v>65.1531098080489</v>
      </c>
      <c r="D58" s="132" t="n">
        <f aca="false">State_Saturation_Raw!F58/State_Saturation_Raw!D58</f>
        <v>0.536541889483066</v>
      </c>
      <c r="E58" s="132" t="n">
        <f aca="false">IF(State_Saturation_Raw!G58&gt;0,State_Saturation_Raw!E58/State_Saturation_Raw!G58-1,"")</f>
        <v>-0.310528457781737</v>
      </c>
      <c r="F58" s="180" t="n">
        <f aca="false">State_Saturation_Raw!B58/State_Saturation_Raw!C58</f>
        <v>789.162393162393</v>
      </c>
      <c r="G58" s="160" t="n">
        <f aca="false">IF(State_Saturation_Raw!H58&gt;0,State_Saturation_Raw!H58/State_Saturation_Raw!E58*1000,"")</f>
        <v>519.225736035238</v>
      </c>
      <c r="H58" s="132" t="n">
        <f aca="false">IF(State_Saturation_Raw!H58&gt;0,State_Saturation_Raw!B58/State_Saturation_Raw!H58-1,"")</f>
        <v>-0.0097489301916539</v>
      </c>
    </row>
    <row r="59" customFormat="false" ht="130.5" hidden="false" customHeight="true" outlineLevel="0" collapsed="false">
      <c r="A59" s="179" t="str">
        <f aca="false">State_Saturation_Raw!A59</f>
        <v>WY</v>
      </c>
      <c r="B59" s="160" t="n">
        <f aca="false">State_Saturation_Raw!B59/State_Saturation_Raw!E59*1000</f>
        <v>83.1039537655161</v>
      </c>
      <c r="C59" s="160" t="n">
        <f aca="false">State_Saturation_Raw!C59/State_Saturation_Raw!E59*100000</f>
        <v>16.8738992417292</v>
      </c>
      <c r="D59" s="132" t="n">
        <f aca="false">State_Saturation_Raw!F59/State_Saturation_Raw!D59</f>
        <v>0.179481344893876</v>
      </c>
      <c r="E59" s="132" t="n">
        <f aca="false">IF(State_Saturation_Raw!G59&gt;0,State_Saturation_Raw!E59/State_Saturation_Raw!G59-1,"")</f>
        <v>-0.0125384014579537</v>
      </c>
      <c r="F59" s="180" t="n">
        <f aca="false">State_Saturation_Raw!B59/State_Saturation_Raw!C59</f>
        <v>492.5</v>
      </c>
      <c r="G59" s="160" t="n">
        <f aca="false">IF(State_Saturation_Raw!H59&gt;0,State_Saturation_Raw!H59/State_Saturation_Raw!E59*1000,"")</f>
        <v>84.9600826821063</v>
      </c>
      <c r="H59" s="132" t="n">
        <f aca="false">IF(State_Saturation_Raw!H59&gt;0,State_Saturation_Raw!B59/State_Saturation_Raw!H59-1,"")</f>
        <v>-0.0218470705064548</v>
      </c>
    </row>
    <row r="60" customFormat="false" ht="9.75" hidden="false" customHeight="true" outlineLevel="0" collapsed="false"/>
    <row r="61" customFormat="false" ht="79.5" hidden="false" customHeight="true" outlineLevel="0" collapsed="false">
      <c r="A61" s="5" t="s">
        <v>3086</v>
      </c>
      <c r="B61" s="5"/>
      <c r="C61" s="5"/>
      <c r="D61" s="5"/>
      <c r="E61" s="5"/>
      <c r="F61" s="5"/>
      <c r="G61" s="5"/>
      <c r="H61" s="5"/>
    </row>
    <row r="62" customFormat="false" ht="42" hidden="false" customHeight="true" outlineLevel="0" collapsed="false">
      <c r="A62" s="5" t="s">
        <v>3087</v>
      </c>
      <c r="B62" s="5"/>
      <c r="C62" s="5"/>
      <c r="D62" s="5"/>
      <c r="E62" s="5"/>
      <c r="F62" s="5"/>
      <c r="G62" s="5"/>
      <c r="H62" s="5"/>
    </row>
    <row r="63" customFormat="false" ht="67.5" hidden="false" customHeight="true" outlineLevel="0" collapsed="false">
      <c r="A63" s="5" t="s">
        <v>3088</v>
      </c>
      <c r="B63" s="5"/>
      <c r="C63" s="5"/>
      <c r="D63" s="5"/>
      <c r="E63" s="5"/>
      <c r="F63" s="5"/>
      <c r="G63" s="5"/>
      <c r="H63" s="5"/>
    </row>
    <row r="65" customFormat="false" ht="18" hidden="false" customHeight="true" outlineLevel="0" collapsed="false">
      <c r="A65" s="127" t="s">
        <v>2111</v>
      </c>
      <c r="B65" s="127"/>
      <c r="C65" s="127"/>
      <c r="D65" s="127"/>
      <c r="E65" s="127"/>
      <c r="F65" s="127"/>
      <c r="G65" s="127"/>
      <c r="H65" s="127"/>
    </row>
    <row r="66" customFormat="false" ht="15.75" hidden="false" customHeight="true" outlineLevel="0" collapsed="false">
      <c r="A66" s="9" t="s">
        <v>3089</v>
      </c>
      <c r="B66" s="184" t="n">
        <f aca="false">MEDIAN(G5:G59)</f>
        <v>307.67081510609</v>
      </c>
    </row>
    <row r="67" customFormat="false" ht="15.75" hidden="false" customHeight="true" outlineLevel="0" collapsed="false">
      <c r="A67" s="9" t="s">
        <v>3090</v>
      </c>
      <c r="B67" s="185" t="n">
        <f aca="false">MAX(G5:G59)/MIN(G5:G59)</f>
        <v>9.63296228915568</v>
      </c>
    </row>
    <row r="68" customFormat="false" ht="15.75" hidden="false" customHeight="true" outlineLevel="0" collapsed="false">
      <c r="A68" s="9" t="s">
        <v>3091</v>
      </c>
      <c r="B68" s="154" t="n">
        <f aca="false">STDEV(G5:G59)/AVERAGE(G5:G59)</f>
        <v>0.386387008668658</v>
      </c>
    </row>
    <row r="69" customFormat="false" ht="15.75" hidden="false" customHeight="true" outlineLevel="0" collapsed="false">
      <c r="A69" s="9" t="s">
        <v>3092</v>
      </c>
      <c r="B69" s="184" t="n">
        <f aca="false">MEDIAN(C5:C59)</f>
        <v>34.7881402260235</v>
      </c>
    </row>
    <row r="70" customFormat="false" ht="15.75" hidden="false" customHeight="true" outlineLevel="0" collapsed="false">
      <c r="A70" s="9" t="s">
        <v>3093</v>
      </c>
      <c r="B70" s="154" t="n">
        <f aca="false">STDEV(C5:C59)/AVERAGE(C5:C59)</f>
        <v>0.846605868812424</v>
      </c>
    </row>
    <row r="71" customFormat="false" ht="15.75" hidden="false" customHeight="true" outlineLevel="0" collapsed="false">
      <c r="A71" s="9" t="s">
        <v>3094</v>
      </c>
      <c r="B71" s="154" t="n">
        <f aca="false">MEDIAN(D5:D59)</f>
        <v>0.497032663387149</v>
      </c>
    </row>
    <row r="72" customFormat="false" ht="15.75" hidden="false" customHeight="true" outlineLevel="0" collapsed="false">
      <c r="A72" s="9" t="s">
        <v>3095</v>
      </c>
      <c r="B72" s="186" t="n">
        <f aca="false">COUNTIF(D5:D59,"&gt;0.5")</f>
        <v>27</v>
      </c>
    </row>
    <row r="73" customFormat="false" ht="30" hidden="false" customHeight="true" outlineLevel="0" collapsed="false">
      <c r="A73" s="3" t="s">
        <v>3096</v>
      </c>
      <c r="B73" s="3"/>
      <c r="C73" s="3"/>
      <c r="D73" s="3"/>
      <c r="E73" s="3"/>
      <c r="F73" s="3"/>
      <c r="G73" s="3"/>
      <c r="H73" s="3"/>
    </row>
  </sheetData>
  <mergeCells count="7">
    <mergeCell ref="A1:H1"/>
    <mergeCell ref="A2:H2"/>
    <mergeCell ref="A61:H61"/>
    <mergeCell ref="A62:H62"/>
    <mergeCell ref="A63:H63"/>
    <mergeCell ref="A65:H65"/>
    <mergeCell ref="A73:H7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34"/>
    <col collapsed="false" customWidth="true" hidden="false" outlineLevel="0" max="3" min="3" style="1" width="16"/>
    <col collapsed="false" customWidth="true" hidden="false" outlineLevel="0" max="4" min="4" style="1" width="11"/>
    <col collapsed="false" customWidth="true" hidden="false" outlineLevel="0" max="5" min="5" style="1" width="13"/>
    <col collapsed="false" customWidth="true" hidden="false" outlineLevel="0" max="6" min="6" style="1" width="44"/>
    <col collapsed="false" customWidth="true" hidden="false" outlineLevel="0" max="7" min="7" style="1" width="7"/>
  </cols>
  <sheetData>
    <row r="1" customFormat="false" ht="24" hidden="false" customHeight="true" outlineLevel="0" collapsed="false">
      <c r="A1" s="14" t="s">
        <v>3097</v>
      </c>
      <c r="B1" s="14"/>
      <c r="C1" s="14"/>
      <c r="D1" s="14"/>
      <c r="E1" s="14"/>
      <c r="F1" s="14"/>
      <c r="G1" s="14"/>
    </row>
    <row r="2" customFormat="false" ht="42" hidden="false" customHeight="true" outlineLevel="0" collapsed="false">
      <c r="A2" s="3" t="s">
        <v>3098</v>
      </c>
      <c r="B2" s="3"/>
      <c r="C2" s="3"/>
      <c r="D2" s="3"/>
      <c r="E2" s="3"/>
      <c r="F2" s="3"/>
      <c r="G2" s="3"/>
    </row>
    <row r="3" customFormat="false" ht="13.5" hidden="false" customHeight="true" outlineLevel="0" collapsed="false"/>
    <row r="4" customFormat="false" ht="33.75" hidden="false" customHeight="true" outlineLevel="0" collapsed="false">
      <c r="A4" s="7" t="s">
        <v>1969</v>
      </c>
      <c r="B4" s="7" t="s">
        <v>3099</v>
      </c>
      <c r="C4" s="7" t="s">
        <v>3100</v>
      </c>
      <c r="D4" s="7" t="s">
        <v>3101</v>
      </c>
      <c r="E4" s="7" t="s">
        <v>3102</v>
      </c>
      <c r="F4" s="7" t="s">
        <v>3103</v>
      </c>
      <c r="G4" s="7" t="s">
        <v>1970</v>
      </c>
    </row>
    <row r="5" customFormat="false" ht="16.5" hidden="false" customHeight="true" outlineLevel="0" collapsed="false">
      <c r="A5" s="97" t="n">
        <v>1</v>
      </c>
      <c r="B5" s="9" t="s">
        <v>3104</v>
      </c>
      <c r="C5" s="98" t="n">
        <v>218952</v>
      </c>
      <c r="D5" s="98" t="n">
        <v>22</v>
      </c>
      <c r="E5" s="101" t="n">
        <v>0.683</v>
      </c>
      <c r="F5" s="9" t="s">
        <v>3105</v>
      </c>
      <c r="G5" s="97" t="s">
        <v>2915</v>
      </c>
    </row>
    <row r="6" customFormat="false" ht="16.5" hidden="false" customHeight="true" outlineLevel="0" collapsed="false">
      <c r="A6" s="97" t="n">
        <v>2</v>
      </c>
      <c r="B6" s="9" t="s">
        <v>3106</v>
      </c>
      <c r="C6" s="98" t="n">
        <v>89716</v>
      </c>
      <c r="D6" s="98" t="n">
        <v>3</v>
      </c>
      <c r="E6" s="101" t="n">
        <v>1</v>
      </c>
      <c r="F6" s="9" t="s">
        <v>3107</v>
      </c>
      <c r="G6" s="97" t="s">
        <v>2917</v>
      </c>
    </row>
    <row r="7" customFormat="false" ht="16.5" hidden="false" customHeight="true" outlineLevel="0" collapsed="false">
      <c r="A7" s="97" t="n">
        <v>3</v>
      </c>
      <c r="B7" s="9" t="s">
        <v>3108</v>
      </c>
      <c r="C7" s="98" t="n">
        <v>88755</v>
      </c>
      <c r="D7" s="98" t="n">
        <v>1</v>
      </c>
      <c r="E7" s="101" t="n">
        <v>1</v>
      </c>
      <c r="F7" s="9" t="s">
        <v>2909</v>
      </c>
      <c r="G7" s="97" t="s">
        <v>2910</v>
      </c>
    </row>
    <row r="8" customFormat="false" ht="16.5" hidden="false" customHeight="true" outlineLevel="0" collapsed="false">
      <c r="A8" s="97" t="n">
        <v>4</v>
      </c>
      <c r="B8" s="9" t="s">
        <v>3109</v>
      </c>
      <c r="C8" s="98" t="n">
        <v>75340</v>
      </c>
      <c r="D8" s="98" t="n">
        <v>9</v>
      </c>
      <c r="E8" s="101" t="n">
        <v>0.771</v>
      </c>
      <c r="F8" s="9" t="s">
        <v>2925</v>
      </c>
      <c r="G8" s="97" t="s">
        <v>2924</v>
      </c>
    </row>
    <row r="9" customFormat="false" ht="30" hidden="false" customHeight="true" outlineLevel="0" collapsed="false">
      <c r="A9" s="97" t="n">
        <v>5</v>
      </c>
      <c r="B9" s="9" t="s">
        <v>3110</v>
      </c>
      <c r="C9" s="98" t="n">
        <v>70594</v>
      </c>
      <c r="D9" s="98" t="n">
        <v>9</v>
      </c>
      <c r="E9" s="101" t="n">
        <v>0.744</v>
      </c>
      <c r="F9" s="9" t="s">
        <v>3111</v>
      </c>
      <c r="G9" s="97" t="s">
        <v>2919</v>
      </c>
    </row>
    <row r="10" customFormat="false" ht="16.5" hidden="false" customHeight="true" outlineLevel="0" collapsed="false">
      <c r="A10" s="97" t="n">
        <v>6</v>
      </c>
      <c r="B10" s="9" t="s">
        <v>3112</v>
      </c>
      <c r="C10" s="98" t="n">
        <v>69539</v>
      </c>
      <c r="D10" s="98" t="n">
        <v>47</v>
      </c>
      <c r="E10" s="101" t="n">
        <v>0.441</v>
      </c>
      <c r="F10" s="9" t="s">
        <v>3113</v>
      </c>
      <c r="G10" s="97" t="s">
        <v>2921</v>
      </c>
    </row>
    <row r="11" customFormat="false" ht="16.5" hidden="false" customHeight="true" outlineLevel="0" collapsed="false">
      <c r="A11" s="97" t="n">
        <v>7</v>
      </c>
      <c r="B11" s="9" t="s">
        <v>3114</v>
      </c>
      <c r="C11" s="98" t="n">
        <v>51654</v>
      </c>
      <c r="D11" s="98" t="n">
        <v>8</v>
      </c>
      <c r="E11" s="101" t="n">
        <v>0.899</v>
      </c>
      <c r="F11" s="9" t="s">
        <v>3115</v>
      </c>
      <c r="G11" s="97" t="s">
        <v>2924</v>
      </c>
    </row>
    <row r="12" customFormat="false" ht="16.5" hidden="false" customHeight="true" outlineLevel="0" collapsed="false">
      <c r="A12" s="97" t="n">
        <v>8</v>
      </c>
      <c r="B12" s="9" t="s">
        <v>3116</v>
      </c>
      <c r="C12" s="98" t="n">
        <v>43055</v>
      </c>
      <c r="D12" s="98" t="n">
        <v>7</v>
      </c>
      <c r="E12" s="101" t="n">
        <v>0.937</v>
      </c>
      <c r="F12" s="9" t="s">
        <v>3117</v>
      </c>
      <c r="G12" s="97" t="s">
        <v>2921</v>
      </c>
    </row>
    <row r="13" customFormat="false" ht="16.5" hidden="false" customHeight="true" outlineLevel="0" collapsed="false">
      <c r="A13" s="97" t="n">
        <v>9</v>
      </c>
      <c r="B13" s="9" t="s">
        <v>3118</v>
      </c>
      <c r="C13" s="98" t="n">
        <v>41580</v>
      </c>
      <c r="D13" s="98" t="n">
        <v>7</v>
      </c>
      <c r="E13" s="101" t="n">
        <v>0.859</v>
      </c>
      <c r="F13" s="9" t="s">
        <v>3119</v>
      </c>
      <c r="G13" s="97" t="s">
        <v>2919</v>
      </c>
    </row>
    <row r="14" customFormat="false" ht="16.5" hidden="false" customHeight="true" outlineLevel="0" collapsed="false">
      <c r="A14" s="97" t="n">
        <v>10</v>
      </c>
      <c r="B14" s="9" t="s">
        <v>3120</v>
      </c>
      <c r="C14" s="98" t="n">
        <v>36937</v>
      </c>
      <c r="D14" s="98" t="n">
        <v>3</v>
      </c>
      <c r="E14" s="101" t="n">
        <v>1</v>
      </c>
      <c r="F14" s="9" t="s">
        <v>3121</v>
      </c>
      <c r="G14" s="97" t="s">
        <v>3062</v>
      </c>
    </row>
    <row r="15" customFormat="false" ht="16.5" hidden="false" customHeight="true" outlineLevel="0" collapsed="false">
      <c r="A15" s="97" t="n">
        <v>11</v>
      </c>
      <c r="B15" s="9" t="s">
        <v>3122</v>
      </c>
      <c r="C15" s="98" t="n">
        <v>36376</v>
      </c>
      <c r="D15" s="98" t="n">
        <v>11</v>
      </c>
      <c r="E15" s="101" t="n">
        <v>0.832</v>
      </c>
      <c r="F15" s="9" t="s">
        <v>3123</v>
      </c>
      <c r="G15" s="97" t="s">
        <v>3059</v>
      </c>
    </row>
    <row r="16" customFormat="false" ht="16.5" hidden="false" customHeight="true" outlineLevel="0" collapsed="false">
      <c r="A16" s="97" t="n">
        <v>12</v>
      </c>
      <c r="B16" s="9" t="s">
        <v>3124</v>
      </c>
      <c r="C16" s="98" t="n">
        <v>35352</v>
      </c>
      <c r="D16" s="98" t="n">
        <v>11</v>
      </c>
      <c r="E16" s="101" t="n">
        <v>0.614</v>
      </c>
      <c r="F16" s="9" t="s">
        <v>3125</v>
      </c>
      <c r="G16" s="97" t="s">
        <v>3062</v>
      </c>
    </row>
    <row r="17" customFormat="false" ht="16.5" hidden="false" customHeight="true" outlineLevel="0" collapsed="false">
      <c r="A17" s="97" t="n">
        <v>13</v>
      </c>
      <c r="B17" s="9" t="s">
        <v>3126</v>
      </c>
      <c r="C17" s="98" t="n">
        <v>34294</v>
      </c>
      <c r="D17" s="98" t="n">
        <v>9</v>
      </c>
      <c r="E17" s="101" t="n">
        <v>0.737</v>
      </c>
      <c r="F17" s="9" t="s">
        <v>3127</v>
      </c>
      <c r="G17" s="97" t="s">
        <v>2921</v>
      </c>
    </row>
    <row r="18" customFormat="false" ht="16.5" hidden="false" customHeight="true" outlineLevel="0" collapsed="false">
      <c r="A18" s="97" t="n">
        <v>14</v>
      </c>
      <c r="B18" s="9" t="s">
        <v>3128</v>
      </c>
      <c r="C18" s="98" t="n">
        <v>33136</v>
      </c>
      <c r="D18" s="98" t="n">
        <v>6</v>
      </c>
      <c r="E18" s="101" t="n">
        <v>0.98</v>
      </c>
      <c r="F18" s="9" t="s">
        <v>3129</v>
      </c>
      <c r="G18" s="97" t="s">
        <v>2921</v>
      </c>
    </row>
    <row r="19" customFormat="false" ht="16.5" hidden="false" customHeight="true" outlineLevel="0" collapsed="false">
      <c r="A19" s="97" t="n">
        <v>15</v>
      </c>
      <c r="B19" s="9" t="s">
        <v>3130</v>
      </c>
      <c r="C19" s="98" t="n">
        <v>32837</v>
      </c>
      <c r="D19" s="98" t="n">
        <v>3</v>
      </c>
      <c r="E19" s="101" t="n">
        <v>1</v>
      </c>
      <c r="F19" s="9" t="s">
        <v>3131</v>
      </c>
      <c r="G19" s="97" t="s">
        <v>3040</v>
      </c>
    </row>
    <row r="20" customFormat="false" ht="16.5" hidden="false" customHeight="true" outlineLevel="0" collapsed="false">
      <c r="A20" s="97" t="n">
        <v>16</v>
      </c>
      <c r="B20" s="9" t="s">
        <v>3132</v>
      </c>
      <c r="C20" s="98" t="n">
        <v>32177</v>
      </c>
      <c r="D20" s="98" t="n">
        <v>3</v>
      </c>
      <c r="E20" s="101" t="n">
        <v>1</v>
      </c>
      <c r="F20" s="9" t="s">
        <v>3133</v>
      </c>
      <c r="G20" s="97" t="s">
        <v>3051</v>
      </c>
    </row>
    <row r="21" customFormat="false" ht="16.5" hidden="false" customHeight="true" outlineLevel="0" collapsed="false">
      <c r="A21" s="97" t="n">
        <v>17</v>
      </c>
      <c r="B21" s="9" t="s">
        <v>3134</v>
      </c>
      <c r="C21" s="98" t="n">
        <v>31106</v>
      </c>
      <c r="D21" s="98" t="n">
        <v>4</v>
      </c>
      <c r="E21" s="101" t="n">
        <v>0.965</v>
      </c>
      <c r="F21" s="9" t="s">
        <v>3135</v>
      </c>
      <c r="G21" s="97" t="s">
        <v>3061</v>
      </c>
    </row>
    <row r="22" customFormat="false" ht="16.5" hidden="false" customHeight="true" outlineLevel="0" collapsed="false">
      <c r="A22" s="97" t="n">
        <v>18</v>
      </c>
      <c r="B22" s="9" t="s">
        <v>3136</v>
      </c>
      <c r="C22" s="98" t="n">
        <v>30597</v>
      </c>
      <c r="D22" s="98" t="n">
        <v>1</v>
      </c>
      <c r="E22" s="101" t="n">
        <v>1</v>
      </c>
      <c r="F22" s="9" t="s">
        <v>3137</v>
      </c>
      <c r="G22" s="97" t="s">
        <v>3042</v>
      </c>
    </row>
    <row r="23" customFormat="false" ht="16.5" hidden="false" customHeight="true" outlineLevel="0" collapsed="false">
      <c r="A23" s="97" t="n">
        <v>19</v>
      </c>
      <c r="B23" s="9" t="s">
        <v>3138</v>
      </c>
      <c r="C23" s="98" t="n">
        <v>27218</v>
      </c>
      <c r="D23" s="98" t="n">
        <v>10</v>
      </c>
      <c r="E23" s="101" t="n">
        <v>0.493</v>
      </c>
      <c r="F23" s="9" t="s">
        <v>3139</v>
      </c>
      <c r="G23" s="97" t="s">
        <v>3049</v>
      </c>
    </row>
    <row r="24" customFormat="false" ht="15" hidden="false" customHeight="true" outlineLevel="0" collapsed="false">
      <c r="A24" s="97" t="n">
        <v>20</v>
      </c>
      <c r="B24" s="9" t="s">
        <v>3140</v>
      </c>
      <c r="C24" s="98" t="n">
        <v>24742</v>
      </c>
      <c r="D24" s="98" t="n">
        <v>12</v>
      </c>
      <c r="E24" s="101" t="n">
        <v>0.907</v>
      </c>
      <c r="F24" s="9" t="s">
        <v>3141</v>
      </c>
      <c r="G24" s="97" t="s">
        <v>3056</v>
      </c>
    </row>
    <row r="25" customFormat="false" ht="15" hidden="false" customHeight="true" outlineLevel="0" collapsed="false">
      <c r="A25" s="97" t="n">
        <v>21</v>
      </c>
      <c r="B25" s="9" t="s">
        <v>3142</v>
      </c>
      <c r="C25" s="98" t="n">
        <v>24439</v>
      </c>
      <c r="D25" s="98" t="n">
        <v>4</v>
      </c>
      <c r="E25" s="101" t="n">
        <v>0.927</v>
      </c>
      <c r="F25" s="9" t="s">
        <v>3143</v>
      </c>
      <c r="G25" s="97" t="s">
        <v>1979</v>
      </c>
    </row>
    <row r="26" customFormat="false" ht="16.5" hidden="false" customHeight="true" outlineLevel="0" collapsed="false">
      <c r="A26" s="97" t="n">
        <v>22</v>
      </c>
      <c r="B26" s="9" t="s">
        <v>3144</v>
      </c>
      <c r="C26" s="98" t="n">
        <v>24309</v>
      </c>
      <c r="D26" s="98" t="n">
        <v>7</v>
      </c>
      <c r="E26" s="101" t="n">
        <v>0.885</v>
      </c>
      <c r="F26" s="9" t="s">
        <v>3145</v>
      </c>
      <c r="G26" s="97" t="s">
        <v>3044</v>
      </c>
    </row>
    <row r="27" customFormat="false" ht="16.5" hidden="false" customHeight="true" outlineLevel="0" collapsed="false">
      <c r="A27" s="97" t="n">
        <v>23</v>
      </c>
      <c r="B27" s="9" t="s">
        <v>3146</v>
      </c>
      <c r="C27" s="98" t="n">
        <v>24201</v>
      </c>
      <c r="D27" s="98" t="n">
        <v>4</v>
      </c>
      <c r="E27" s="101" t="n">
        <v>0.922</v>
      </c>
      <c r="F27" s="9" t="s">
        <v>3147</v>
      </c>
      <c r="G27" s="97" t="s">
        <v>2919</v>
      </c>
    </row>
    <row r="28" customFormat="false" ht="16.5" hidden="false" customHeight="true" outlineLevel="0" collapsed="false">
      <c r="A28" s="97" t="n">
        <v>24</v>
      </c>
      <c r="B28" s="9" t="s">
        <v>3148</v>
      </c>
      <c r="C28" s="98" t="n">
        <v>24052</v>
      </c>
      <c r="D28" s="98" t="n">
        <v>2</v>
      </c>
      <c r="E28" s="101" t="n">
        <v>1</v>
      </c>
      <c r="F28" s="9" t="s">
        <v>3149</v>
      </c>
      <c r="G28" s="97" t="s">
        <v>2912</v>
      </c>
    </row>
    <row r="29" customFormat="false" ht="16.5" hidden="false" customHeight="true" outlineLevel="0" collapsed="false">
      <c r="A29" s="97" t="n">
        <v>25</v>
      </c>
      <c r="B29" s="9" t="s">
        <v>3150</v>
      </c>
      <c r="C29" s="98" t="n">
        <v>22822</v>
      </c>
      <c r="D29" s="98" t="n">
        <v>1</v>
      </c>
      <c r="E29" s="101" t="n">
        <v>1</v>
      </c>
      <c r="F29" s="9" t="s">
        <v>3151</v>
      </c>
      <c r="G29" s="97" t="s">
        <v>2924</v>
      </c>
    </row>
    <row r="30" customFormat="false" ht="9.75" hidden="false" customHeight="true" outlineLevel="0" collapsed="false"/>
    <row r="31" customFormat="false" ht="42" hidden="false" customHeight="true" outlineLevel="0" collapsed="false">
      <c r="A31" s="5" t="s">
        <v>3152</v>
      </c>
      <c r="B31" s="5"/>
      <c r="C31" s="5"/>
      <c r="D31" s="5"/>
      <c r="E31" s="5"/>
      <c r="F31" s="5"/>
      <c r="G31" s="5"/>
    </row>
    <row r="32" customFormat="false" ht="54.75" hidden="false" customHeight="true" outlineLevel="0" collapsed="false">
      <c r="A32" s="5" t="s">
        <v>3153</v>
      </c>
      <c r="B32" s="5"/>
      <c r="C32" s="5"/>
      <c r="D32" s="5"/>
      <c r="E32" s="5"/>
      <c r="F32" s="5"/>
      <c r="G32" s="5"/>
    </row>
    <row r="34" customFormat="false" ht="18" hidden="false" customHeight="true" outlineLevel="0" collapsed="false">
      <c r="A34" s="127" t="s">
        <v>2111</v>
      </c>
      <c r="B34" s="127"/>
      <c r="C34" s="127"/>
      <c r="D34" s="127"/>
      <c r="E34" s="127"/>
      <c r="F34" s="127"/>
      <c r="G34" s="127"/>
    </row>
    <row r="35" customFormat="false" ht="15.75" hidden="false" customHeight="true" outlineLevel="0" collapsed="false">
      <c r="A35" s="9" t="s">
        <v>3154</v>
      </c>
      <c r="B35" s="154" t="n">
        <f aca="false">MEDIAN(E5:E14)</f>
        <v>0.879</v>
      </c>
    </row>
    <row r="36" customFormat="false" ht="15.75" hidden="false" customHeight="true" outlineLevel="0" collapsed="false">
      <c r="A36" s="9" t="s">
        <v>3155</v>
      </c>
      <c r="B36" s="154" t="n">
        <f aca="false">SUM(C5:C14)/SUM(C5:C29)</f>
        <v>0.642371994966416</v>
      </c>
    </row>
    <row r="37" customFormat="false" ht="30" hidden="false" customHeight="true" outlineLevel="0" collapsed="false">
      <c r="A37" s="3" t="s">
        <v>3156</v>
      </c>
      <c r="B37" s="3"/>
      <c r="C37" s="3"/>
      <c r="D37" s="3"/>
      <c r="E37" s="3"/>
      <c r="F37" s="3"/>
      <c r="G37" s="3"/>
    </row>
  </sheetData>
  <mergeCells count="6">
    <mergeCell ref="A1:G1"/>
    <mergeCell ref="A2:G2"/>
    <mergeCell ref="A31:G31"/>
    <mergeCell ref="A32:G32"/>
    <mergeCell ref="A34:G34"/>
    <mergeCell ref="A37:G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3" min="2" style="1" width="15"/>
    <col collapsed="false" customWidth="true" hidden="false" outlineLevel="0" max="4" min="4" style="1" width="10"/>
    <col collapsed="false" customWidth="true" hidden="false" outlineLevel="0" max="5" min="5" style="1" width="46"/>
  </cols>
  <sheetData>
    <row r="1" customFormat="false" ht="24" hidden="false" customHeight="true" outlineLevel="0" collapsed="false">
      <c r="A1" s="14" t="s">
        <v>3157</v>
      </c>
      <c r="B1" s="14"/>
      <c r="C1" s="14"/>
      <c r="D1" s="14"/>
      <c r="E1" s="14"/>
    </row>
    <row r="2" customFormat="false" ht="54.75" hidden="false" customHeight="true" outlineLevel="0" collapsed="false">
      <c r="A2" s="3" t="s">
        <v>3158</v>
      </c>
      <c r="B2" s="3"/>
      <c r="C2" s="3"/>
      <c r="D2" s="3"/>
      <c r="E2" s="3"/>
    </row>
    <row r="3" customFormat="false" ht="13.5" hidden="false" customHeight="true" outlineLevel="0" collapsed="false"/>
    <row r="4" customFormat="false" ht="19.5" hidden="false" customHeight="true" outlineLevel="0" collapsed="false">
      <c r="A4" s="15" t="s">
        <v>3159</v>
      </c>
      <c r="B4" s="15"/>
      <c r="C4" s="15"/>
      <c r="D4" s="15"/>
      <c r="E4" s="15"/>
    </row>
    <row r="5" customFormat="false" ht="24" hidden="false" customHeight="true" outlineLevel="0" collapsed="false">
      <c r="A5" s="7" t="s">
        <v>2356</v>
      </c>
      <c r="B5" s="7" t="s">
        <v>844</v>
      </c>
      <c r="C5" s="7" t="s">
        <v>806</v>
      </c>
      <c r="D5" s="7" t="s">
        <v>2700</v>
      </c>
      <c r="E5" s="7" t="s">
        <v>3160</v>
      </c>
    </row>
    <row r="6" customFormat="false" ht="79.5" hidden="false" customHeight="true" outlineLevel="0" collapsed="false">
      <c r="A6" s="9" t="s">
        <v>3161</v>
      </c>
      <c r="B6" s="180" t="n">
        <f aca="false">Utilization_Normalized!B12/Supplier_Series_Raw!B10</f>
        <v>6813.67257421356</v>
      </c>
      <c r="C6" s="180" t="n">
        <f aca="false">Utilization_Normalized!B17/Supplier_Series_Raw!B15</f>
        <v>7796.71092764591</v>
      </c>
      <c r="D6" s="144" t="n">
        <f aca="false">C6/B6-1</f>
        <v>0.144274375195644</v>
      </c>
      <c r="E6" s="9" t="s">
        <v>3162</v>
      </c>
    </row>
    <row r="7" customFormat="false" ht="79.5" hidden="false" customHeight="true" outlineLevel="0" collapsed="false">
      <c r="A7" s="9" t="s">
        <v>3163</v>
      </c>
      <c r="B7" s="180" t="n">
        <f aca="false">Utilization_Normalized!C12/Supplier_Series_Raw!B10</f>
        <v>3628.50343376163</v>
      </c>
      <c r="C7" s="180" t="n">
        <f aca="false">Utilization_Normalized!C17/Supplier_Series_Raw!B15</f>
        <v>3173.20387570233</v>
      </c>
      <c r="D7" s="99" t="n">
        <f aca="false">C7/B7-1</f>
        <v>-0.125478607467459</v>
      </c>
      <c r="E7" s="9" t="s">
        <v>3164</v>
      </c>
    </row>
    <row r="8" customFormat="false" ht="79.5" hidden="false" customHeight="true" outlineLevel="0" collapsed="false">
      <c r="A8" s="9" t="s">
        <v>3165</v>
      </c>
      <c r="B8" s="160" t="n">
        <f aca="false">Medicare_OD_Matrix!G29/260600</f>
        <v>54.8344831158864</v>
      </c>
      <c r="C8" s="160" t="n">
        <f aca="false">Medicare_OD_Matrix!G34/282900</f>
        <v>37.6025669848003</v>
      </c>
      <c r="D8" s="99" t="n">
        <f aca="false">C8/B8-1</f>
        <v>-0.31425327917596</v>
      </c>
      <c r="E8" s="9" t="s">
        <v>3166</v>
      </c>
    </row>
    <row r="9" customFormat="false" ht="42" hidden="false" customHeight="true" outlineLevel="0" collapsed="false">
      <c r="A9" s="9" t="s">
        <v>3167</v>
      </c>
      <c r="B9" s="121" t="n">
        <f aca="false">Workforce_Supply!B15</f>
        <v>0.167796610169491</v>
      </c>
      <c r="C9" s="121" t="n">
        <f aca="false">Workforce_Supply!B16</f>
        <v>0.185055004508516</v>
      </c>
      <c r="D9" s="170" t="n">
        <f aca="false">(C9-B9)*100</f>
        <v>1.72583943390245</v>
      </c>
      <c r="E9" s="9" t="s">
        <v>3168</v>
      </c>
    </row>
    <row r="10" customFormat="false" ht="9.75" hidden="false" customHeight="true" outlineLevel="0" collapsed="false"/>
    <row r="11" customFormat="false" ht="19.5" hidden="false" customHeight="true" outlineLevel="0" collapsed="false">
      <c r="A11" s="15" t="s">
        <v>3169</v>
      </c>
      <c r="B11" s="15"/>
      <c r="C11" s="15"/>
      <c r="D11" s="15"/>
      <c r="E11" s="15"/>
    </row>
    <row r="12" customFormat="false" ht="30" hidden="false" customHeight="true" outlineLevel="0" collapsed="false">
      <c r="A12" s="7" t="s">
        <v>2115</v>
      </c>
      <c r="B12" s="7" t="s">
        <v>3170</v>
      </c>
      <c r="C12" s="7" t="s">
        <v>3171</v>
      </c>
    </row>
    <row r="13" customFormat="false" ht="30" hidden="false" customHeight="true" outlineLevel="0" collapsed="false">
      <c r="A13" s="9" t="s">
        <v>3172</v>
      </c>
      <c r="B13" s="9" t="s">
        <v>3173</v>
      </c>
      <c r="C13" s="9" t="s">
        <v>15</v>
      </c>
    </row>
    <row r="14" customFormat="false" ht="30" hidden="false" customHeight="true" outlineLevel="0" collapsed="false">
      <c r="A14" s="9" t="s">
        <v>2130</v>
      </c>
      <c r="B14" s="9" t="s">
        <v>3174</v>
      </c>
      <c r="C14" s="9" t="s">
        <v>15</v>
      </c>
    </row>
    <row r="15" customFormat="false" ht="79.5" hidden="false" customHeight="true" outlineLevel="0" collapsed="false">
      <c r="A15" s="9" t="s">
        <v>3175</v>
      </c>
      <c r="B15" s="9" t="s">
        <v>3176</v>
      </c>
      <c r="C15" s="9" t="s">
        <v>3177</v>
      </c>
    </row>
    <row r="16" customFormat="false" ht="16.5" hidden="false" customHeight="true" outlineLevel="0" collapsed="false">
      <c r="A16" s="9" t="s">
        <v>3178</v>
      </c>
      <c r="B16" s="9" t="s">
        <v>3179</v>
      </c>
      <c r="C16" s="9" t="s">
        <v>15</v>
      </c>
    </row>
    <row r="17" customFormat="false" ht="30" hidden="false" customHeight="true" outlineLevel="0" collapsed="false">
      <c r="A17" s="9" t="s">
        <v>3180</v>
      </c>
      <c r="B17" s="9" t="s">
        <v>3181</v>
      </c>
      <c r="C17" s="9" t="s">
        <v>15</v>
      </c>
    </row>
    <row r="18" customFormat="false" ht="16.5" hidden="false" customHeight="true" outlineLevel="0" collapsed="false">
      <c r="A18" s="9" t="s">
        <v>3182</v>
      </c>
      <c r="B18" s="9" t="s">
        <v>3183</v>
      </c>
      <c r="C18" s="9" t="s">
        <v>24</v>
      </c>
    </row>
    <row r="19" customFormat="false" ht="42" hidden="false" customHeight="true" outlineLevel="0" collapsed="false">
      <c r="A19" s="9" t="s">
        <v>3184</v>
      </c>
      <c r="B19" s="9" t="s">
        <v>3185</v>
      </c>
      <c r="C19" s="9" t="s">
        <v>3186</v>
      </c>
    </row>
    <row r="20" customFormat="false" ht="67.5" hidden="false" customHeight="true" outlineLevel="0" collapsed="false">
      <c r="A20" s="9" t="s">
        <v>2945</v>
      </c>
      <c r="B20" s="9" t="s">
        <v>3187</v>
      </c>
      <c r="C20" s="9" t="s">
        <v>3188</v>
      </c>
    </row>
    <row r="21" customFormat="false" ht="30" hidden="false" customHeight="true" outlineLevel="0" collapsed="false">
      <c r="A21" s="9" t="s">
        <v>3189</v>
      </c>
      <c r="B21" s="9" t="s">
        <v>3190</v>
      </c>
      <c r="C21" s="9" t="s">
        <v>3191</v>
      </c>
    </row>
    <row r="22" customFormat="false" ht="30" hidden="false" customHeight="true" outlineLevel="0" collapsed="false">
      <c r="A22" s="9" t="s">
        <v>3192</v>
      </c>
      <c r="B22" s="9" t="s">
        <v>3193</v>
      </c>
      <c r="C22" s="9" t="s">
        <v>3194</v>
      </c>
    </row>
    <row r="23" customFormat="false" ht="30" hidden="false" customHeight="true" outlineLevel="0" collapsed="false">
      <c r="A23" s="9" t="s">
        <v>3195</v>
      </c>
      <c r="B23" s="9" t="s">
        <v>3196</v>
      </c>
      <c r="C23" s="9" t="s">
        <v>3197</v>
      </c>
    </row>
    <row r="24" customFormat="false" ht="117.75" hidden="false" customHeight="true" outlineLevel="0" collapsed="false">
      <c r="A24" s="9" t="s">
        <v>3198</v>
      </c>
      <c r="B24" s="9" t="s">
        <v>3199</v>
      </c>
      <c r="C24" s="9" t="s">
        <v>3200</v>
      </c>
    </row>
    <row r="25" customFormat="false" ht="9.75" hidden="false" customHeight="true" outlineLevel="0" collapsed="false"/>
    <row r="26" customFormat="false" ht="30" hidden="false" customHeight="true" outlineLevel="0" collapsed="false">
      <c r="A26" s="15" t="s">
        <v>3201</v>
      </c>
      <c r="B26" s="15"/>
      <c r="C26" s="15"/>
      <c r="D26" s="15"/>
      <c r="E26" s="15"/>
    </row>
    <row r="27" customFormat="false" ht="33.75" hidden="false" customHeight="true" outlineLevel="0" collapsed="false">
      <c r="A27" s="7" t="s">
        <v>723</v>
      </c>
      <c r="B27" s="7" t="s">
        <v>3202</v>
      </c>
      <c r="C27" s="7" t="s">
        <v>1947</v>
      </c>
    </row>
    <row r="28" customFormat="false" ht="67.5" hidden="false" customHeight="true" outlineLevel="0" collapsed="false">
      <c r="A28" s="97" t="s">
        <v>2176</v>
      </c>
      <c r="B28" s="132" t="n">
        <f aca="false">1-Utilization_Normalized!C6/Utilization_Normalized!B6</f>
        <v>0.373743990514263</v>
      </c>
      <c r="C28" s="9" t="s">
        <v>3203</v>
      </c>
      <c r="D28" s="9"/>
      <c r="E28" s="9"/>
    </row>
    <row r="29" customFormat="false" ht="54.75" hidden="false" customHeight="true" outlineLevel="0" collapsed="false">
      <c r="A29" s="97" t="s">
        <v>2177</v>
      </c>
      <c r="B29" s="132" t="n">
        <f aca="false">1-Utilization_Normalized!C7/Utilization_Normalized!B7</f>
        <v>0.391329281581566</v>
      </c>
    </row>
    <row r="30" customFormat="false" ht="54.75" hidden="false" customHeight="true" outlineLevel="0" collapsed="false">
      <c r="A30" s="97" t="s">
        <v>2178</v>
      </c>
      <c r="B30" s="132" t="n">
        <f aca="false">1-Utilization_Normalized!C8/Utilization_Normalized!B8</f>
        <v>0.405916787880441</v>
      </c>
    </row>
    <row r="31" customFormat="false" ht="54.75" hidden="false" customHeight="true" outlineLevel="0" collapsed="false">
      <c r="A31" s="97" t="s">
        <v>866</v>
      </c>
      <c r="B31" s="132" t="n">
        <f aca="false">1-Utilization_Normalized!C9/Utilization_Normalized!B9</f>
        <v>0.413962682518787</v>
      </c>
    </row>
    <row r="32" customFormat="false" ht="54.75" hidden="false" customHeight="true" outlineLevel="0" collapsed="false">
      <c r="A32" s="97" t="s">
        <v>1057</v>
      </c>
      <c r="B32" s="132" t="n">
        <f aca="false">1-Utilization_Normalized!C10/Utilization_Normalized!B10</f>
        <v>0.431346807815088</v>
      </c>
    </row>
    <row r="33" customFormat="false" ht="54.75" hidden="false" customHeight="true" outlineLevel="0" collapsed="false">
      <c r="A33" s="97" t="s">
        <v>1153</v>
      </c>
      <c r="B33" s="132" t="n">
        <f aca="false">1-Utilization_Normalized!C11/Utilization_Normalized!B11</f>
        <v>0.449033570213544</v>
      </c>
    </row>
    <row r="34" customFormat="false" ht="54.75" hidden="false" customHeight="true" outlineLevel="0" collapsed="false">
      <c r="A34" s="97" t="s">
        <v>844</v>
      </c>
      <c r="B34" s="132" t="n">
        <f aca="false">1-Utilization_Normalized!C12/Utilization_Normalized!B12</f>
        <v>0.467467302803226</v>
      </c>
    </row>
    <row r="35" customFormat="false" ht="54.75" hidden="false" customHeight="true" outlineLevel="0" collapsed="false">
      <c r="A35" s="97" t="s">
        <v>1862</v>
      </c>
      <c r="B35" s="132" t="n">
        <f aca="false">1-Utilization_Normalized!C13/Utilization_Normalized!B13</f>
        <v>0.491822869389974</v>
      </c>
    </row>
    <row r="36" customFormat="false" ht="54.75" hidden="false" customHeight="true" outlineLevel="0" collapsed="false">
      <c r="A36" s="97" t="s">
        <v>1163</v>
      </c>
      <c r="B36" s="132" t="n">
        <f aca="false">1-Utilization_Normalized!C14/Utilization_Normalized!B14</f>
        <v>0.522051109531737</v>
      </c>
    </row>
    <row r="37" customFormat="false" ht="54.75" hidden="false" customHeight="true" outlineLevel="0" collapsed="false">
      <c r="A37" s="97" t="s">
        <v>733</v>
      </c>
      <c r="B37" s="132" t="n">
        <f aca="false">1-Utilization_Normalized!C15/Utilization_Normalized!B15</f>
        <v>0.549230339788548</v>
      </c>
    </row>
    <row r="38" customFormat="false" ht="54.75" hidden="false" customHeight="true" outlineLevel="0" collapsed="false">
      <c r="A38" s="97" t="s">
        <v>741</v>
      </c>
      <c r="B38" s="132" t="n">
        <f aca="false">1-Utilization_Normalized!C16/Utilization_Normalized!B16</f>
        <v>0.574267512089071</v>
      </c>
    </row>
    <row r="39" customFormat="false" ht="54.75" hidden="false" customHeight="true" outlineLevel="0" collapsed="false">
      <c r="A39" s="97" t="s">
        <v>806</v>
      </c>
      <c r="B39" s="132" t="n">
        <f aca="false">1-Utilization_Normalized!C17/Utilization_Normalized!B17</f>
        <v>0.593007371294138</v>
      </c>
    </row>
    <row r="40" customFormat="false" ht="54.75" hidden="false" customHeight="true" outlineLevel="0" collapsed="false">
      <c r="A40" s="97" t="s">
        <v>1122</v>
      </c>
      <c r="B40" s="132" t="n">
        <f aca="false">1-Utilization_Normalized!C18/Utilization_Normalized!B18</f>
        <v>0.597981917113934</v>
      </c>
    </row>
    <row r="41" customFormat="false" ht="9.75" hidden="false" customHeight="true" outlineLevel="0" collapsed="false"/>
    <row r="42" customFormat="false" ht="19.5" hidden="false" customHeight="true" outlineLevel="0" collapsed="false">
      <c r="A42" s="15" t="s">
        <v>3204</v>
      </c>
      <c r="B42" s="15"/>
      <c r="C42" s="15"/>
      <c r="D42" s="15"/>
      <c r="E42" s="15"/>
    </row>
    <row r="43" customFormat="false" ht="24" hidden="false" customHeight="true" outlineLevel="0" collapsed="false">
      <c r="A43" s="7" t="s">
        <v>580</v>
      </c>
      <c r="B43" s="7" t="s">
        <v>3205</v>
      </c>
      <c r="C43" s="7" t="s">
        <v>3206</v>
      </c>
      <c r="D43" s="7" t="s">
        <v>1904</v>
      </c>
      <c r="E43" s="7" t="s">
        <v>3207</v>
      </c>
    </row>
    <row r="44" customFormat="false" ht="79.5" hidden="false" customHeight="true" outlineLevel="0" collapsed="false">
      <c r="A44" s="9" t="s">
        <v>3208</v>
      </c>
      <c r="B44" s="9" t="s">
        <v>3209</v>
      </c>
      <c r="C44" s="9" t="s">
        <v>3210</v>
      </c>
      <c r="D44" s="9" t="s">
        <v>1374</v>
      </c>
      <c r="E44" s="9" t="s">
        <v>3211</v>
      </c>
    </row>
    <row r="45" customFormat="false" ht="42" hidden="false" customHeight="true" outlineLevel="0" collapsed="false">
      <c r="A45" s="9" t="s">
        <v>3212</v>
      </c>
      <c r="B45" s="9" t="s">
        <v>3213</v>
      </c>
      <c r="C45" s="9" t="s">
        <v>3210</v>
      </c>
      <c r="D45" s="9" t="s">
        <v>1374</v>
      </c>
      <c r="E45" s="9" t="s">
        <v>3211</v>
      </c>
    </row>
    <row r="46" customFormat="false" ht="42" hidden="false" customHeight="true" outlineLevel="0" collapsed="false">
      <c r="A46" s="9" t="s">
        <v>3214</v>
      </c>
      <c r="B46" s="9" t="s">
        <v>3215</v>
      </c>
      <c r="C46" s="9" t="s">
        <v>3210</v>
      </c>
      <c r="D46" s="9" t="s">
        <v>1374</v>
      </c>
      <c r="E46" s="9" t="s">
        <v>3216</v>
      </c>
    </row>
    <row r="47" customFormat="false" ht="67.5" hidden="false" customHeight="true" outlineLevel="0" collapsed="false">
      <c r="A47" s="9" t="s">
        <v>3217</v>
      </c>
      <c r="B47" s="9" t="s">
        <v>3218</v>
      </c>
      <c r="C47" s="9" t="s">
        <v>3219</v>
      </c>
      <c r="D47" s="9" t="s">
        <v>1381</v>
      </c>
      <c r="E47" s="9" t="s">
        <v>3220</v>
      </c>
    </row>
    <row r="48" customFormat="false" ht="30" hidden="false" customHeight="true" outlineLevel="0" collapsed="false">
      <c r="A48" s="9" t="s">
        <v>1265</v>
      </c>
      <c r="B48" s="9" t="s">
        <v>3221</v>
      </c>
      <c r="C48" s="9" t="s">
        <v>1737</v>
      </c>
      <c r="D48" s="9" t="s">
        <v>1266</v>
      </c>
      <c r="E48" s="9" t="s">
        <v>3222</v>
      </c>
    </row>
    <row r="49" customFormat="false" ht="30" hidden="false" customHeight="true" outlineLevel="0" collapsed="false">
      <c r="A49" s="9" t="s">
        <v>3223</v>
      </c>
      <c r="B49" s="9" t="s">
        <v>3224</v>
      </c>
      <c r="C49" s="9" t="s">
        <v>3225</v>
      </c>
      <c r="D49" s="9" t="s">
        <v>357</v>
      </c>
      <c r="E49" s="9" t="s">
        <v>3226</v>
      </c>
    </row>
    <row r="51" customFormat="false" ht="18" hidden="false" customHeight="true" outlineLevel="0" collapsed="false">
      <c r="A51" s="127" t="s">
        <v>2111</v>
      </c>
      <c r="B51" s="127"/>
      <c r="C51" s="127"/>
      <c r="D51" s="127"/>
      <c r="E51" s="127"/>
    </row>
    <row r="52" customFormat="false" ht="15.75" hidden="false" customHeight="true" outlineLevel="0" collapsed="false">
      <c r="A52" s="9" t="s">
        <v>3227</v>
      </c>
      <c r="B52" s="171" t="n">
        <f aca="false">(B40-B28)*100/12</f>
        <v>1.86864938833059</v>
      </c>
    </row>
    <row r="53" customFormat="false" ht="15.75" hidden="false" customHeight="true" outlineLevel="0" collapsed="false">
      <c r="A53" s="9" t="s">
        <v>3228</v>
      </c>
      <c r="B53" s="187" t="n">
        <f aca="false">(0.63-B40)/((B40-B28)/12)</f>
        <v>1.71343447765071</v>
      </c>
    </row>
    <row r="54" customFormat="false" ht="30" hidden="false" customHeight="true" outlineLevel="0" collapsed="false">
      <c r="A54" s="3" t="s">
        <v>3229</v>
      </c>
      <c r="B54" s="3"/>
      <c r="C54" s="3"/>
      <c r="D54" s="3"/>
      <c r="E54" s="3"/>
    </row>
  </sheetData>
  <mergeCells count="9">
    <mergeCell ref="A1:E1"/>
    <mergeCell ref="A2:E2"/>
    <mergeCell ref="A4:E4"/>
    <mergeCell ref="A11:E11"/>
    <mergeCell ref="A26:E26"/>
    <mergeCell ref="C28:E28"/>
    <mergeCell ref="A42:E42"/>
    <mergeCell ref="A51:E51"/>
    <mergeCell ref="A54:E5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3" min="2" style="1" width="30"/>
    <col collapsed="false" customWidth="true" hidden="false" outlineLevel="0" max="4" min="4" style="1" width="26"/>
    <col collapsed="false" customWidth="true" hidden="false" outlineLevel="0" max="6" min="5" style="1" width="22"/>
  </cols>
  <sheetData>
    <row r="1" customFormat="false" ht="24" hidden="false" customHeight="true" outlineLevel="0" collapsed="false">
      <c r="A1" s="14" t="s">
        <v>3230</v>
      </c>
      <c r="B1" s="14"/>
      <c r="C1" s="14"/>
      <c r="D1" s="14"/>
      <c r="E1" s="14"/>
      <c r="F1" s="14"/>
    </row>
    <row r="2" customFormat="false" ht="67.5" hidden="false" customHeight="true" outlineLevel="0" collapsed="false">
      <c r="A2" s="5" t="s">
        <v>3231</v>
      </c>
      <c r="B2" s="5"/>
      <c r="C2" s="5"/>
      <c r="D2" s="5"/>
      <c r="E2" s="5"/>
      <c r="F2" s="5"/>
    </row>
    <row r="3" customFormat="false" ht="13.5" hidden="false" customHeight="true" outlineLevel="0" collapsed="false"/>
    <row r="4" customFormat="false" ht="19.5" hidden="false" customHeight="true" outlineLevel="0" collapsed="false">
      <c r="A4" s="15" t="s">
        <v>3232</v>
      </c>
      <c r="B4" s="15"/>
      <c r="C4" s="15"/>
      <c r="D4" s="15"/>
      <c r="E4" s="15"/>
      <c r="F4" s="15"/>
    </row>
    <row r="5" customFormat="false" ht="33.75" hidden="false" customHeight="true" outlineLevel="0" collapsed="false">
      <c r="A5" s="7" t="s">
        <v>3233</v>
      </c>
      <c r="B5" s="7" t="s">
        <v>3234</v>
      </c>
      <c r="C5" s="7" t="s">
        <v>3235</v>
      </c>
      <c r="D5" s="7" t="s">
        <v>3236</v>
      </c>
    </row>
    <row r="6" customFormat="false" ht="300" hidden="false" customHeight="true" outlineLevel="0" collapsed="false">
      <c r="A6" s="8" t="s">
        <v>3237</v>
      </c>
      <c r="B6" s="9" t="s">
        <v>3238</v>
      </c>
      <c r="C6" s="9" t="s">
        <v>3239</v>
      </c>
      <c r="D6" s="9" t="s">
        <v>3240</v>
      </c>
      <c r="E6" s="9"/>
      <c r="F6" s="9"/>
    </row>
    <row r="7" customFormat="false" ht="300" hidden="false" customHeight="true" outlineLevel="0" collapsed="false">
      <c r="A7" s="8" t="s">
        <v>3241</v>
      </c>
      <c r="B7" s="9" t="s">
        <v>3242</v>
      </c>
      <c r="C7" s="9" t="s">
        <v>3243</v>
      </c>
      <c r="D7" s="9" t="s">
        <v>3244</v>
      </c>
      <c r="E7" s="9"/>
      <c r="F7" s="9"/>
    </row>
    <row r="8" customFormat="false" ht="168" hidden="false" customHeight="true" outlineLevel="0" collapsed="false">
      <c r="A8" s="8" t="s">
        <v>3245</v>
      </c>
      <c r="B8" s="9" t="s">
        <v>3246</v>
      </c>
      <c r="C8" s="9" t="s">
        <v>3247</v>
      </c>
      <c r="D8" s="9" t="s">
        <v>3248</v>
      </c>
      <c r="E8" s="9"/>
      <c r="F8" s="9"/>
    </row>
    <row r="9" customFormat="false" ht="300" hidden="false" customHeight="true" outlineLevel="0" collapsed="false">
      <c r="A9" s="8" t="s">
        <v>3249</v>
      </c>
      <c r="B9" s="9" t="s">
        <v>3250</v>
      </c>
      <c r="C9" s="9" t="s">
        <v>3251</v>
      </c>
      <c r="D9" s="9" t="s">
        <v>3252</v>
      </c>
      <c r="E9" s="9"/>
      <c r="F9" s="9"/>
    </row>
    <row r="10" customFormat="false" ht="9.75" hidden="false" customHeight="true" outlineLevel="0" collapsed="false"/>
    <row r="11" customFormat="false" ht="19.5" hidden="false" customHeight="true" outlineLevel="0" collapsed="false">
      <c r="A11" s="15" t="s">
        <v>3253</v>
      </c>
      <c r="B11" s="15"/>
      <c r="C11" s="15"/>
      <c r="D11" s="15"/>
      <c r="E11" s="15"/>
      <c r="F11" s="15"/>
    </row>
    <row r="12" customFormat="false" ht="33.75" hidden="false" customHeight="true" outlineLevel="0" collapsed="false">
      <c r="A12" s="7" t="s">
        <v>2115</v>
      </c>
      <c r="B12" s="7" t="s">
        <v>3254</v>
      </c>
      <c r="C12" s="7" t="s">
        <v>3255</v>
      </c>
      <c r="D12" s="7" t="s">
        <v>2865</v>
      </c>
    </row>
    <row r="13" customFormat="false" ht="42" hidden="false" customHeight="true" outlineLevel="0" collapsed="false">
      <c r="A13" s="8" t="s">
        <v>3256</v>
      </c>
      <c r="B13" s="9" t="s">
        <v>3257</v>
      </c>
      <c r="C13" s="9" t="s">
        <v>3258</v>
      </c>
      <c r="D13" s="9" t="s">
        <v>3259</v>
      </c>
      <c r="E13" s="9"/>
      <c r="F13" s="9"/>
    </row>
    <row r="14" customFormat="false" ht="142.5" hidden="false" customHeight="true" outlineLevel="0" collapsed="false">
      <c r="A14" s="8" t="s">
        <v>3260</v>
      </c>
      <c r="B14" s="9" t="s">
        <v>3261</v>
      </c>
      <c r="C14" s="9" t="s">
        <v>3262</v>
      </c>
      <c r="D14" s="9" t="s">
        <v>3263</v>
      </c>
      <c r="E14" s="9"/>
      <c r="F14" s="9"/>
    </row>
    <row r="15" customFormat="false" ht="93" hidden="false" customHeight="true" outlineLevel="0" collapsed="false">
      <c r="A15" s="8" t="s">
        <v>3264</v>
      </c>
      <c r="B15" s="9" t="s">
        <v>3265</v>
      </c>
      <c r="C15" s="9" t="s">
        <v>3266</v>
      </c>
      <c r="D15" s="9" t="s">
        <v>3267</v>
      </c>
      <c r="E15" s="9"/>
      <c r="F15" s="9"/>
    </row>
    <row r="16" customFormat="false" ht="205.5" hidden="false" customHeight="true" outlineLevel="0" collapsed="false">
      <c r="A16" s="8" t="s">
        <v>3268</v>
      </c>
      <c r="B16" s="9" t="s">
        <v>3269</v>
      </c>
      <c r="C16" s="9" t="s">
        <v>3270</v>
      </c>
      <c r="D16" s="9" t="s">
        <v>3271</v>
      </c>
      <c r="E16" s="9"/>
      <c r="F16" s="9"/>
    </row>
    <row r="17" customFormat="false" ht="105" hidden="false" customHeight="true" outlineLevel="0" collapsed="false">
      <c r="A17" s="8" t="s">
        <v>3272</v>
      </c>
      <c r="B17" s="9" t="s">
        <v>3273</v>
      </c>
      <c r="C17" s="9" t="s">
        <v>3274</v>
      </c>
      <c r="D17" s="9" t="s">
        <v>3275</v>
      </c>
      <c r="E17" s="9"/>
      <c r="F17" s="9"/>
    </row>
    <row r="18" customFormat="false" ht="93" hidden="false" customHeight="true" outlineLevel="0" collapsed="false">
      <c r="A18" s="8" t="s">
        <v>3276</v>
      </c>
      <c r="B18" s="9" t="s">
        <v>3277</v>
      </c>
      <c r="C18" s="9" t="s">
        <v>3278</v>
      </c>
      <c r="D18" s="9" t="s">
        <v>3275</v>
      </c>
      <c r="E18" s="9"/>
      <c r="F18" s="9"/>
    </row>
    <row r="19" customFormat="false" ht="9.75" hidden="false" customHeight="true" outlineLevel="0" collapsed="false"/>
    <row r="20" customFormat="false" ht="19.5" hidden="false" customHeight="true" outlineLevel="0" collapsed="false">
      <c r="A20" s="15" t="s">
        <v>3279</v>
      </c>
      <c r="B20" s="15"/>
      <c r="C20" s="15"/>
      <c r="D20" s="15"/>
      <c r="E20" s="15"/>
      <c r="F20" s="15"/>
    </row>
    <row r="21" customFormat="false" ht="67.5" hidden="false" customHeight="true" outlineLevel="0" collapsed="false">
      <c r="A21" s="5" t="s">
        <v>3280</v>
      </c>
      <c r="B21" s="5"/>
      <c r="C21" s="5"/>
      <c r="D21" s="5"/>
      <c r="E21" s="5"/>
      <c r="F21" s="5"/>
    </row>
    <row r="22" customFormat="false" ht="33.75" hidden="false" customHeight="true" outlineLevel="0" collapsed="false">
      <c r="A22" s="7" t="s">
        <v>3281</v>
      </c>
      <c r="B22" s="7" t="s">
        <v>3282</v>
      </c>
      <c r="C22" s="7" t="s">
        <v>3283</v>
      </c>
      <c r="D22" s="7" t="s">
        <v>3284</v>
      </c>
    </row>
    <row r="23" customFormat="false" ht="30" hidden="false" customHeight="true" outlineLevel="0" collapsed="false">
      <c r="A23" s="9" t="s">
        <v>3285</v>
      </c>
      <c r="B23" s="9" t="s">
        <v>3286</v>
      </c>
      <c r="C23" s="188" t="s">
        <v>3287</v>
      </c>
      <c r="D23" s="189" t="s">
        <v>3288</v>
      </c>
    </row>
    <row r="24" customFormat="false" ht="42" hidden="false" customHeight="true" outlineLevel="0" collapsed="false">
      <c r="A24" s="9" t="s">
        <v>3289</v>
      </c>
      <c r="B24" s="9" t="s">
        <v>3290</v>
      </c>
      <c r="C24" s="188" t="s">
        <v>3287</v>
      </c>
      <c r="D24" s="189" t="s">
        <v>3288</v>
      </c>
    </row>
    <row r="25" customFormat="false" ht="30" hidden="false" customHeight="true" outlineLevel="0" collapsed="false">
      <c r="A25" s="9" t="s">
        <v>3291</v>
      </c>
      <c r="B25" s="9" t="s">
        <v>3292</v>
      </c>
      <c r="C25" s="188" t="s">
        <v>3287</v>
      </c>
      <c r="D25" s="189" t="s">
        <v>3288</v>
      </c>
    </row>
    <row r="26" customFormat="false" ht="30" hidden="false" customHeight="true" outlineLevel="0" collapsed="false">
      <c r="A26" s="9" t="s">
        <v>3293</v>
      </c>
      <c r="B26" s="9" t="s">
        <v>3294</v>
      </c>
      <c r="C26" s="188" t="s">
        <v>3287</v>
      </c>
      <c r="D26" s="189" t="s">
        <v>3288</v>
      </c>
    </row>
    <row r="27" customFormat="false" ht="9.75" hidden="false" customHeight="true" outlineLevel="0" collapsed="false"/>
    <row r="28" customFormat="false" ht="19.5" hidden="false" customHeight="true" outlineLevel="0" collapsed="false">
      <c r="A28" s="15" t="s">
        <v>3295</v>
      </c>
      <c r="B28" s="15"/>
      <c r="C28" s="15"/>
      <c r="D28" s="15"/>
      <c r="E28" s="15"/>
      <c r="F28" s="15"/>
    </row>
    <row r="29" customFormat="false" ht="16.5" hidden="false" customHeight="true" outlineLevel="0" collapsed="false">
      <c r="A29" s="5" t="s">
        <v>3296</v>
      </c>
      <c r="B29" s="5"/>
      <c r="C29" s="5"/>
      <c r="D29" s="5"/>
      <c r="E29" s="5"/>
      <c r="F29" s="5"/>
    </row>
    <row r="30" customFormat="false" ht="30" hidden="false" customHeight="true" outlineLevel="0" collapsed="false">
      <c r="A30" s="5" t="s">
        <v>3297</v>
      </c>
      <c r="B30" s="5"/>
      <c r="C30" s="5"/>
      <c r="D30" s="5"/>
      <c r="E30" s="5"/>
      <c r="F30" s="5"/>
    </row>
    <row r="31" customFormat="false" ht="16.5" hidden="false" customHeight="true" outlineLevel="0" collapsed="false">
      <c r="A31" s="5" t="s">
        <v>3298</v>
      </c>
      <c r="B31" s="5"/>
      <c r="C31" s="5"/>
      <c r="D31" s="5"/>
      <c r="E31" s="5"/>
      <c r="F31" s="5"/>
    </row>
    <row r="32" customFormat="false" ht="30" hidden="false" customHeight="true" outlineLevel="0" collapsed="false">
      <c r="A32" s="5" t="s">
        <v>3299</v>
      </c>
      <c r="B32" s="5"/>
      <c r="C32" s="5"/>
      <c r="D32" s="5"/>
      <c r="E32" s="5"/>
      <c r="F32" s="5"/>
    </row>
    <row r="33" customFormat="false" ht="30" hidden="false" customHeight="true" outlineLevel="0" collapsed="false">
      <c r="A33" s="5" t="s">
        <v>3300</v>
      </c>
      <c r="B33" s="5"/>
      <c r="C33" s="5"/>
      <c r="D33" s="5"/>
      <c r="E33" s="5"/>
      <c r="F33" s="5"/>
    </row>
    <row r="34" customFormat="false" ht="30" hidden="false" customHeight="true" outlineLevel="0" collapsed="false">
      <c r="A34" s="5" t="s">
        <v>3301</v>
      </c>
      <c r="B34" s="5"/>
      <c r="C34" s="5"/>
      <c r="D34" s="5"/>
      <c r="E34" s="5"/>
      <c r="F34" s="5"/>
    </row>
    <row r="35" customFormat="false" ht="9.75" hidden="false" customHeight="true" outlineLevel="0" collapsed="false"/>
    <row r="36" customFormat="false" ht="19.5" hidden="false" customHeight="true" outlineLevel="0" collapsed="false">
      <c r="A36" s="15" t="s">
        <v>3302</v>
      </c>
      <c r="B36" s="15"/>
      <c r="C36" s="15"/>
      <c r="D36" s="15"/>
      <c r="E36" s="15"/>
      <c r="F36" s="15"/>
    </row>
    <row r="37" customFormat="false" ht="117.75" hidden="false" customHeight="true" outlineLevel="0" collapsed="false">
      <c r="A37" s="5" t="s">
        <v>3303</v>
      </c>
      <c r="B37" s="5"/>
      <c r="C37" s="5"/>
      <c r="D37" s="5"/>
      <c r="E37" s="5"/>
      <c r="F37" s="5"/>
    </row>
    <row r="38" customFormat="false" ht="42" hidden="false" customHeight="true" outlineLevel="0" collapsed="false">
      <c r="A38" s="5" t="s">
        <v>3304</v>
      </c>
      <c r="B38" s="5"/>
      <c r="C38" s="5"/>
      <c r="D38" s="5"/>
      <c r="E38" s="5"/>
      <c r="F38" s="5"/>
    </row>
  </sheetData>
  <mergeCells count="26">
    <mergeCell ref="A1:F1"/>
    <mergeCell ref="A2:F2"/>
    <mergeCell ref="A4:F4"/>
    <mergeCell ref="D6:F6"/>
    <mergeCell ref="D7:F7"/>
    <mergeCell ref="D8:F8"/>
    <mergeCell ref="D9:F9"/>
    <mergeCell ref="A11:F11"/>
    <mergeCell ref="D13:F13"/>
    <mergeCell ref="D14:F14"/>
    <mergeCell ref="D15:F15"/>
    <mergeCell ref="D16:F16"/>
    <mergeCell ref="D17:F17"/>
    <mergeCell ref="D18:F18"/>
    <mergeCell ref="A20:F20"/>
    <mergeCell ref="A21:F21"/>
    <mergeCell ref="A28:F28"/>
    <mergeCell ref="A29:F29"/>
    <mergeCell ref="A30:F30"/>
    <mergeCell ref="A31:F31"/>
    <mergeCell ref="A32:F32"/>
    <mergeCell ref="A33:F33"/>
    <mergeCell ref="A34:F34"/>
    <mergeCell ref="A36:F36"/>
    <mergeCell ref="A37:F37"/>
    <mergeCell ref="A38:F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4" min="2" style="1" width="13"/>
    <col collapsed="false" customWidth="true" hidden="false" outlineLevel="0" max="5" min="5" style="1" width="30"/>
    <col collapsed="false" customWidth="true" hidden="false" outlineLevel="0" max="6" min="6" style="1" width="15"/>
    <col collapsed="false" customWidth="true" hidden="false" outlineLevel="0" max="9" min="7" style="1" width="13"/>
  </cols>
  <sheetData>
    <row r="1" customFormat="false" ht="24" hidden="false" customHeight="true" outlineLevel="0" collapsed="false">
      <c r="A1" s="14" t="s">
        <v>3305</v>
      </c>
      <c r="B1" s="14"/>
      <c r="C1" s="14"/>
      <c r="D1" s="14"/>
      <c r="E1" s="14"/>
      <c r="F1" s="14"/>
      <c r="G1" s="14"/>
      <c r="H1" s="14"/>
      <c r="I1" s="14"/>
    </row>
    <row r="2" customFormat="false" ht="72" hidden="false" customHeight="true" outlineLevel="0" collapsed="false">
      <c r="A2" s="3" t="s">
        <v>3306</v>
      </c>
      <c r="B2" s="3"/>
      <c r="C2" s="3"/>
      <c r="D2" s="3"/>
      <c r="E2" s="3"/>
      <c r="F2" s="3"/>
      <c r="G2" s="3"/>
      <c r="H2" s="3"/>
      <c r="I2" s="3"/>
    </row>
    <row r="4" customFormat="false" ht="18" hidden="false" customHeight="true" outlineLevel="0" collapsed="false">
      <c r="A4" s="127" t="s">
        <v>3307</v>
      </c>
      <c r="B4" s="127"/>
      <c r="C4" s="127"/>
      <c r="D4" s="127"/>
      <c r="E4" s="127"/>
      <c r="F4" s="127"/>
      <c r="G4" s="127"/>
      <c r="H4" s="127"/>
      <c r="I4" s="127"/>
    </row>
    <row r="5" customFormat="false" ht="25.5" hidden="false" customHeight="true" outlineLevel="0" collapsed="false">
      <c r="A5" s="190" t="s">
        <v>3308</v>
      </c>
      <c r="B5" s="190" t="s">
        <v>3309</v>
      </c>
      <c r="C5" s="190" t="s">
        <v>3310</v>
      </c>
      <c r="D5" s="190" t="s">
        <v>276</v>
      </c>
      <c r="E5" s="190" t="s">
        <v>3311</v>
      </c>
    </row>
    <row r="6" customFormat="false" ht="15" hidden="false" customHeight="true" outlineLevel="0" collapsed="false">
      <c r="A6" s="8" t="s">
        <v>3312</v>
      </c>
      <c r="B6" s="191" t="n">
        <f aca="false">B63</f>
        <v>15864962457.5803</v>
      </c>
      <c r="C6" s="191" t="n">
        <f aca="false">C63</f>
        <v>20595460674.5186</v>
      </c>
      <c r="D6" s="191" t="n">
        <f aca="false">D63</f>
        <v>27143160350.9632</v>
      </c>
      <c r="E6" s="3" t="s">
        <v>3313</v>
      </c>
      <c r="F6" s="3"/>
      <c r="G6" s="3"/>
      <c r="H6" s="3"/>
      <c r="I6" s="3"/>
    </row>
    <row r="7" customFormat="false" ht="15" hidden="false" customHeight="true" outlineLevel="0" collapsed="false">
      <c r="A7" s="8" t="s">
        <v>3314</v>
      </c>
      <c r="B7" s="192" t="n">
        <f aca="false">B54</f>
        <v>33.9674832555309</v>
      </c>
      <c r="C7" s="192" t="n">
        <f aca="false">C54</f>
        <v>41.258901826637</v>
      </c>
      <c r="D7" s="192" t="n">
        <f aca="false">D54</f>
        <v>49.3963840740411</v>
      </c>
      <c r="E7" s="3" t="s">
        <v>3315</v>
      </c>
      <c r="F7" s="3"/>
      <c r="G7" s="3"/>
      <c r="H7" s="3"/>
      <c r="I7" s="3"/>
    </row>
    <row r="8" customFormat="false" ht="15" hidden="false" customHeight="true" outlineLevel="0" collapsed="false">
      <c r="A8" s="8" t="s">
        <v>3316</v>
      </c>
      <c r="B8" s="193" t="n">
        <f aca="false">B64</f>
        <v>9993813447.16023</v>
      </c>
      <c r="C8" s="193" t="n">
        <f aca="false">C64</f>
        <v>12973695487.1342</v>
      </c>
      <c r="D8" s="193" t="n">
        <f aca="false">D64</f>
        <v>17098286972.8931</v>
      </c>
      <c r="E8" s="3" t="s">
        <v>3317</v>
      </c>
      <c r="F8" s="3"/>
      <c r="G8" s="3"/>
      <c r="H8" s="3"/>
      <c r="I8" s="3"/>
    </row>
    <row r="9" customFormat="false" ht="15" hidden="false" customHeight="true" outlineLevel="0" collapsed="false">
      <c r="A9" s="8" t="s">
        <v>3318</v>
      </c>
      <c r="B9" s="194" t="n">
        <f aca="false">B81</f>
        <v>0.0278279831045605</v>
      </c>
      <c r="C9" s="194" t="n">
        <f aca="false">C81</f>
        <v>0.0410563103478627</v>
      </c>
      <c r="D9" s="194" t="n">
        <f aca="false">D81</f>
        <v>0.05231506965046</v>
      </c>
      <c r="E9" s="3" t="s">
        <v>3319</v>
      </c>
      <c r="F9" s="3"/>
      <c r="G9" s="3"/>
      <c r="H9" s="3"/>
      <c r="I9" s="3"/>
    </row>
    <row r="10" customFormat="false" ht="15" hidden="false" customHeight="true" outlineLevel="0" collapsed="false">
      <c r="A10" s="8" t="s">
        <v>3320</v>
      </c>
      <c r="B10" s="193" t="n">
        <f aca="false">B82</f>
        <v>18705170578.9969</v>
      </c>
      <c r="C10" s="193" t="n">
        <f aca="false">C82</f>
        <v>26219043037.56</v>
      </c>
      <c r="D10" s="193" t="n">
        <f aca="false">D82</f>
        <v>36858287290.9531</v>
      </c>
      <c r="E10" s="3" t="s">
        <v>3321</v>
      </c>
      <c r="F10" s="3"/>
      <c r="G10" s="3"/>
      <c r="H10" s="3"/>
      <c r="I10" s="3"/>
    </row>
    <row r="11" customFormat="false" ht="18" hidden="false" customHeight="true" outlineLevel="0" collapsed="false">
      <c r="A11" s="127" t="s">
        <v>3322</v>
      </c>
      <c r="B11" s="127"/>
      <c r="C11" s="127"/>
      <c r="D11" s="127"/>
      <c r="E11" s="127"/>
      <c r="F11" s="127"/>
      <c r="G11" s="127"/>
      <c r="H11" s="127"/>
      <c r="I11" s="127"/>
    </row>
    <row r="12" customFormat="false" ht="25.5" hidden="false" customHeight="true" outlineLevel="0" collapsed="false">
      <c r="A12" s="190" t="s">
        <v>3323</v>
      </c>
      <c r="B12" s="190" t="s">
        <v>581</v>
      </c>
      <c r="C12" s="190"/>
      <c r="D12" s="190"/>
      <c r="E12" s="190" t="s">
        <v>1904</v>
      </c>
    </row>
    <row r="13" customFormat="false" ht="15" hidden="false" customHeight="true" outlineLevel="0" collapsed="false">
      <c r="A13" s="9" t="s">
        <v>3324</v>
      </c>
      <c r="B13" s="195" t="n">
        <f aca="false">Utilization_Normalized!B17</f>
        <v>67995116</v>
      </c>
      <c r="C13" s="109"/>
      <c r="D13" s="109"/>
      <c r="E13" s="189" t="s">
        <v>3325</v>
      </c>
      <c r="F13" s="189"/>
      <c r="G13" s="189"/>
      <c r="H13" s="189"/>
      <c r="I13" s="189"/>
    </row>
    <row r="14" customFormat="false" ht="15" hidden="false" customHeight="true" outlineLevel="0" collapsed="false">
      <c r="A14" s="9" t="s">
        <v>3326</v>
      </c>
      <c r="B14" s="195" t="n">
        <f aca="false">Utilization_Normalized!C17</f>
        <v>27673511</v>
      </c>
      <c r="C14" s="109"/>
      <c r="D14" s="109"/>
      <c r="E14" s="189" t="s">
        <v>1295</v>
      </c>
      <c r="F14" s="189"/>
      <c r="G14" s="189"/>
      <c r="H14" s="189"/>
      <c r="I14" s="189"/>
    </row>
    <row r="15" customFormat="false" ht="15" hidden="false" customHeight="true" outlineLevel="0" collapsed="false">
      <c r="A15" s="9" t="s">
        <v>3327</v>
      </c>
      <c r="B15" s="195" t="n">
        <f aca="false">Utilization_Normalized!B17-Utilization_Normalized!C17</f>
        <v>40321605</v>
      </c>
      <c r="C15" s="109"/>
      <c r="D15" s="109"/>
      <c r="E15" s="189" t="s">
        <v>3328</v>
      </c>
      <c r="F15" s="189"/>
      <c r="G15" s="189"/>
      <c r="H15" s="189"/>
      <c r="I15" s="189"/>
    </row>
    <row r="16" customFormat="false" ht="15" hidden="false" customHeight="true" outlineLevel="0" collapsed="false">
      <c r="A16" s="9" t="s">
        <v>3329</v>
      </c>
      <c r="B16" s="195" t="n">
        <f aca="false">Medicare_OD_Matrix!G34</f>
        <v>10637766.2</v>
      </c>
      <c r="C16" s="109"/>
      <c r="D16" s="109"/>
      <c r="E16" s="189" t="s">
        <v>3330</v>
      </c>
      <c r="F16" s="189"/>
      <c r="G16" s="189"/>
      <c r="H16" s="189"/>
      <c r="I16" s="189"/>
    </row>
    <row r="17" customFormat="false" ht="21.75" hidden="false" customHeight="true" outlineLevel="0" collapsed="false">
      <c r="A17" s="9" t="s">
        <v>3331</v>
      </c>
      <c r="B17" s="195" t="n">
        <f aca="false">MedPAC_2026_Mandated!B7</f>
        <v>11300000</v>
      </c>
      <c r="C17" s="109"/>
      <c r="D17" s="109"/>
      <c r="E17" s="189" t="s">
        <v>1808</v>
      </c>
      <c r="F17" s="189"/>
      <c r="G17" s="189"/>
      <c r="H17" s="189"/>
      <c r="I17" s="189"/>
    </row>
    <row r="18" customFormat="false" ht="15" hidden="false" customHeight="true" outlineLevel="0" collapsed="false">
      <c r="A18" s="9" t="s">
        <v>3332</v>
      </c>
      <c r="B18" s="196" t="n">
        <f aca="false">B17/B16-1</f>
        <v>0.0622530884350514</v>
      </c>
      <c r="C18" s="109"/>
      <c r="D18" s="109"/>
      <c r="E18" s="189" t="s">
        <v>3333</v>
      </c>
      <c r="F18" s="189"/>
      <c r="G18" s="189"/>
      <c r="H18" s="189"/>
      <c r="I18" s="189"/>
    </row>
    <row r="19" customFormat="false" ht="15" hidden="false" customHeight="true" outlineLevel="0" collapsed="false">
      <c r="A19" s="9" t="s">
        <v>3334</v>
      </c>
      <c r="B19" s="197" t="n">
        <f aca="false">5056000000/10637766*Medicare_OD_Matrix!G34/Medicare_OD_Matrix!G34</f>
        <v>475.287762486973</v>
      </c>
      <c r="C19" s="109"/>
      <c r="D19" s="109"/>
      <c r="E19" s="189" t="s">
        <v>3335</v>
      </c>
      <c r="F19" s="189"/>
      <c r="G19" s="189"/>
      <c r="H19" s="189"/>
      <c r="I19" s="189"/>
    </row>
    <row r="20" customFormat="false" ht="15" hidden="false" customHeight="true" outlineLevel="0" collapsed="false">
      <c r="A20" s="9" t="s">
        <v>3336</v>
      </c>
      <c r="B20" s="104" t="n">
        <f aca="false">B16/Utilization_Normalized!C17*1000</f>
        <v>384.402477878575</v>
      </c>
      <c r="C20" s="109"/>
      <c r="D20" s="109"/>
      <c r="E20" s="189" t="s">
        <v>751</v>
      </c>
      <c r="F20" s="189"/>
      <c r="G20" s="189"/>
      <c r="H20" s="189"/>
      <c r="I20" s="189"/>
    </row>
    <row r="21" customFormat="false" ht="15" hidden="false" customHeight="true" outlineLevel="0" collapsed="false">
      <c r="A21" s="9" t="s">
        <v>3337</v>
      </c>
      <c r="B21" s="198" t="n">
        <f aca="false">Medicare_PSPS!G46+Medicare_PSPS!G47+Medicare_PSPS!G50+Medicare_PSPS!G51</f>
        <v>0.696611310772662</v>
      </c>
      <c r="C21" s="109"/>
      <c r="D21" s="109"/>
      <c r="E21" s="189" t="s">
        <v>3338</v>
      </c>
      <c r="F21" s="189"/>
      <c r="G21" s="189"/>
      <c r="H21" s="189"/>
      <c r="I21" s="189"/>
    </row>
    <row r="22" customFormat="false" ht="21.75" hidden="false" customHeight="true" outlineLevel="0" collapsed="false">
      <c r="A22" s="9" t="s">
        <v>3339</v>
      </c>
      <c r="B22" s="198" t="n">
        <f aca="false">Medicare_PSPS!H46+Medicare_PSPS!H47+Medicare_PSPS!H50+Medicare_PSPS!H51</f>
        <v>0.629929851638898</v>
      </c>
      <c r="C22" s="109"/>
      <c r="D22" s="109"/>
      <c r="E22" s="189" t="s">
        <v>3340</v>
      </c>
      <c r="F22" s="189"/>
      <c r="G22" s="189"/>
      <c r="H22" s="189"/>
      <c r="I22" s="189"/>
    </row>
    <row r="23" customFormat="false" ht="15" hidden="false" customHeight="true" outlineLevel="0" collapsed="false">
      <c r="A23" s="9" t="s">
        <v>3341</v>
      </c>
      <c r="B23" s="199" t="n">
        <v>335900000</v>
      </c>
      <c r="C23" s="109"/>
      <c r="D23" s="109"/>
      <c r="E23" s="189" t="s">
        <v>3342</v>
      </c>
      <c r="F23" s="189"/>
      <c r="G23" s="189"/>
      <c r="H23" s="189"/>
      <c r="I23" s="189"/>
    </row>
    <row r="24" customFormat="false" ht="15" hidden="false" customHeight="true" outlineLevel="0" collapsed="false">
      <c r="A24" s="9" t="s">
        <v>3343</v>
      </c>
      <c r="B24" s="126" t="n">
        <v>0.08</v>
      </c>
      <c r="C24" s="109"/>
      <c r="D24" s="109"/>
      <c r="E24" s="189" t="s">
        <v>3344</v>
      </c>
      <c r="F24" s="189"/>
      <c r="G24" s="189"/>
      <c r="H24" s="189"/>
      <c r="I24" s="189"/>
    </row>
    <row r="25" customFormat="false" ht="15" hidden="false" customHeight="true" outlineLevel="0" collapsed="false">
      <c r="A25" s="9" t="s">
        <v>3345</v>
      </c>
      <c r="B25" s="126" t="n">
        <v>0.011</v>
      </c>
      <c r="C25" s="109"/>
      <c r="D25" s="109"/>
      <c r="E25" s="189" t="s">
        <v>3346</v>
      </c>
      <c r="F25" s="189"/>
      <c r="G25" s="189"/>
      <c r="H25" s="189"/>
      <c r="I25" s="189"/>
    </row>
    <row r="27" customFormat="false" ht="18" hidden="false" customHeight="true" outlineLevel="0" collapsed="false">
      <c r="A27" s="127" t="s">
        <v>3347</v>
      </c>
      <c r="B27" s="127"/>
      <c r="C27" s="127"/>
      <c r="D27" s="127"/>
      <c r="E27" s="127"/>
      <c r="F27" s="127"/>
      <c r="G27" s="127"/>
      <c r="H27" s="127"/>
      <c r="I27" s="127"/>
    </row>
    <row r="28" customFormat="false" ht="25.5" hidden="false" customHeight="true" outlineLevel="0" collapsed="false">
      <c r="A28" s="190" t="s">
        <v>3348</v>
      </c>
      <c r="B28" s="190" t="s">
        <v>3309</v>
      </c>
      <c r="C28" s="190" t="s">
        <v>3310</v>
      </c>
      <c r="D28" s="190" t="s">
        <v>276</v>
      </c>
      <c r="E28" s="190" t="s">
        <v>725</v>
      </c>
      <c r="F28" s="190" t="s">
        <v>2865</v>
      </c>
    </row>
    <row r="29" customFormat="false" ht="39.75" hidden="false" customHeight="true" outlineLevel="0" collapsed="false">
      <c r="A29" s="9" t="s">
        <v>3349</v>
      </c>
      <c r="B29" s="200" t="n">
        <v>52</v>
      </c>
      <c r="C29" s="200" t="n">
        <v>58</v>
      </c>
      <c r="D29" s="200" t="n">
        <v>66</v>
      </c>
      <c r="E29" s="189" t="s">
        <v>3350</v>
      </c>
      <c r="F29" s="9" t="s">
        <v>3351</v>
      </c>
      <c r="G29" s="9"/>
      <c r="H29" s="9"/>
      <c r="I29" s="9"/>
    </row>
    <row r="30" customFormat="false" ht="39.75" hidden="false" customHeight="true" outlineLevel="0" collapsed="false">
      <c r="A30" s="9" t="s">
        <v>3352</v>
      </c>
      <c r="B30" s="201" t="n">
        <v>0.75</v>
      </c>
      <c r="C30" s="201" t="n">
        <v>0.9</v>
      </c>
      <c r="D30" s="201" t="n">
        <v>1</v>
      </c>
      <c r="E30" s="189" t="s">
        <v>3353</v>
      </c>
      <c r="F30" s="9" t="s">
        <v>3354</v>
      </c>
      <c r="G30" s="9"/>
      <c r="H30" s="9"/>
      <c r="I30" s="9"/>
    </row>
    <row r="31" customFormat="false" ht="39.75" hidden="false" customHeight="true" outlineLevel="0" collapsed="false">
      <c r="A31" s="9" t="s">
        <v>3355</v>
      </c>
      <c r="B31" s="201" t="n">
        <v>1</v>
      </c>
      <c r="C31" s="201" t="n">
        <v>1.05</v>
      </c>
      <c r="D31" s="201" t="n">
        <v>1.15</v>
      </c>
      <c r="E31" s="189" t="s">
        <v>3356</v>
      </c>
      <c r="F31" s="9" t="s">
        <v>3357</v>
      </c>
      <c r="G31" s="9"/>
      <c r="H31" s="9"/>
      <c r="I31" s="9"/>
    </row>
    <row r="32" customFormat="false" ht="39.75" hidden="false" customHeight="true" outlineLevel="0" collapsed="false">
      <c r="A32" s="9" t="s">
        <v>3358</v>
      </c>
      <c r="B32" s="200" t="n">
        <v>100</v>
      </c>
      <c r="C32" s="200" t="n">
        <v>140</v>
      </c>
      <c r="D32" s="200" t="n">
        <v>180</v>
      </c>
      <c r="E32" s="189" t="s">
        <v>3359</v>
      </c>
      <c r="F32" s="9" t="s">
        <v>3360</v>
      </c>
      <c r="G32" s="9"/>
      <c r="H32" s="9"/>
      <c r="I32" s="9"/>
    </row>
    <row r="33" customFormat="false" ht="39.75" hidden="false" customHeight="true" outlineLevel="0" collapsed="false">
      <c r="A33" s="9" t="s">
        <v>3361</v>
      </c>
      <c r="B33" s="201" t="n">
        <v>0.55</v>
      </c>
      <c r="C33" s="201" t="n">
        <v>0.7</v>
      </c>
      <c r="D33" s="201" t="n">
        <v>0.85</v>
      </c>
      <c r="E33" s="189" t="s">
        <v>3362</v>
      </c>
      <c r="F33" s="9" t="s">
        <v>3363</v>
      </c>
      <c r="G33" s="9"/>
      <c r="H33" s="9"/>
      <c r="I33" s="9"/>
    </row>
    <row r="34" customFormat="false" ht="39.75" hidden="false" customHeight="true" outlineLevel="0" collapsed="false">
      <c r="A34" s="9" t="s">
        <v>3364</v>
      </c>
      <c r="B34" s="200" t="n">
        <v>25</v>
      </c>
      <c r="C34" s="200" t="n">
        <v>35</v>
      </c>
      <c r="D34" s="200" t="n">
        <v>50</v>
      </c>
      <c r="E34" s="189" t="s">
        <v>3365</v>
      </c>
      <c r="F34" s="9" t="s">
        <v>3366</v>
      </c>
      <c r="G34" s="9"/>
      <c r="H34" s="9"/>
      <c r="I34" s="9"/>
    </row>
    <row r="35" customFormat="false" ht="39.75" hidden="false" customHeight="true" outlineLevel="0" collapsed="false">
      <c r="A35" s="9" t="s">
        <v>3367</v>
      </c>
      <c r="B35" s="201" t="n">
        <v>1.6</v>
      </c>
      <c r="C35" s="201" t="n">
        <v>1.8</v>
      </c>
      <c r="D35" s="201" t="n">
        <v>2</v>
      </c>
      <c r="E35" s="189" t="s">
        <v>3368</v>
      </c>
      <c r="F35" s="9" t="s">
        <v>3369</v>
      </c>
      <c r="G35" s="9"/>
      <c r="H35" s="9"/>
      <c r="I35" s="9"/>
    </row>
    <row r="36" customFormat="false" ht="39.75" hidden="false" customHeight="true" outlineLevel="0" collapsed="false">
      <c r="A36" s="9" t="s">
        <v>3370</v>
      </c>
      <c r="B36" s="200" t="n">
        <v>45</v>
      </c>
      <c r="C36" s="200" t="n">
        <v>60</v>
      </c>
      <c r="D36" s="200" t="n">
        <v>80</v>
      </c>
      <c r="E36" s="189" t="s">
        <v>3371</v>
      </c>
      <c r="F36" s="9" t="s">
        <v>3357</v>
      </c>
      <c r="G36" s="9"/>
      <c r="H36" s="9"/>
      <c r="I36" s="9"/>
    </row>
    <row r="37" customFormat="false" ht="39.75" hidden="false" customHeight="true" outlineLevel="0" collapsed="false">
      <c r="A37" s="9" t="s">
        <v>3372</v>
      </c>
      <c r="B37" s="201" t="n">
        <v>0.15</v>
      </c>
      <c r="C37" s="201" t="n">
        <v>0.25</v>
      </c>
      <c r="D37" s="201" t="n">
        <v>0.35</v>
      </c>
      <c r="E37" s="189" t="s">
        <v>3373</v>
      </c>
      <c r="F37" s="9" t="s">
        <v>3357</v>
      </c>
      <c r="G37" s="9"/>
      <c r="H37" s="9"/>
      <c r="I37" s="9"/>
    </row>
    <row r="39" customFormat="false" ht="18" hidden="false" customHeight="true" outlineLevel="0" collapsed="false">
      <c r="A39" s="127" t="s">
        <v>3374</v>
      </c>
      <c r="B39" s="127"/>
      <c r="C39" s="127"/>
      <c r="D39" s="127"/>
      <c r="E39" s="127"/>
      <c r="F39" s="127"/>
      <c r="G39" s="127"/>
      <c r="H39" s="127"/>
      <c r="I39" s="127"/>
    </row>
    <row r="40" customFormat="false" ht="25.5" hidden="false" customHeight="true" outlineLevel="0" collapsed="false">
      <c r="A40" s="190" t="s">
        <v>3375</v>
      </c>
      <c r="B40" s="190" t="s">
        <v>3309</v>
      </c>
      <c r="C40" s="190" t="s">
        <v>3310</v>
      </c>
      <c r="D40" s="190" t="s">
        <v>276</v>
      </c>
      <c r="E40" s="190" t="s">
        <v>2085</v>
      </c>
    </row>
    <row r="41" customFormat="false" ht="15" hidden="false" customHeight="true" outlineLevel="0" collapsed="false">
      <c r="A41" s="9" t="s">
        <v>3376</v>
      </c>
      <c r="B41" s="184" t="n">
        <f aca="false">$B$13/1000000</f>
        <v>67.995116</v>
      </c>
      <c r="C41" s="184" t="n">
        <f aca="false">$B$13/1000000</f>
        <v>67.995116</v>
      </c>
      <c r="D41" s="184" t="n">
        <f aca="false">$B$13/1000000</f>
        <v>67.995116</v>
      </c>
      <c r="E41" s="3" t="s">
        <v>3377</v>
      </c>
      <c r="F41" s="3"/>
      <c r="G41" s="3"/>
      <c r="H41" s="3"/>
      <c r="I41" s="3"/>
    </row>
    <row r="42" customFormat="false" ht="15" hidden="false" customHeight="true" outlineLevel="0" collapsed="false">
      <c r="A42" s="9" t="s">
        <v>3378</v>
      </c>
      <c r="B42" s="184" t="n">
        <f aca="false">B29</f>
        <v>52</v>
      </c>
      <c r="C42" s="184" t="n">
        <f aca="false">C29</f>
        <v>58</v>
      </c>
      <c r="D42" s="184" t="n">
        <f aca="false">D29</f>
        <v>66</v>
      </c>
      <c r="E42" s="3" t="s">
        <v>3379</v>
      </c>
      <c r="F42" s="3"/>
      <c r="G42" s="3"/>
      <c r="H42" s="3"/>
      <c r="I42" s="3"/>
    </row>
    <row r="43" customFormat="false" ht="15" hidden="false" customHeight="true" outlineLevel="0" collapsed="false">
      <c r="A43" s="9" t="s">
        <v>3380</v>
      </c>
      <c r="B43" s="184" t="n">
        <f aca="false">$B$24*$B$23/1000000</f>
        <v>26.872</v>
      </c>
      <c r="C43" s="184" t="n">
        <f aca="false">$B$24*$B$23/1000000</f>
        <v>26.872</v>
      </c>
      <c r="D43" s="184" t="n">
        <f aca="false">$B$24*$B$23/1000000</f>
        <v>26.872</v>
      </c>
      <c r="E43" s="3" t="s">
        <v>3377</v>
      </c>
      <c r="F43" s="3"/>
      <c r="G43" s="3"/>
      <c r="H43" s="3"/>
      <c r="I43" s="3"/>
    </row>
    <row r="44" customFormat="false" ht="15" hidden="false" customHeight="true" outlineLevel="0" collapsed="false">
      <c r="A44" s="9" t="s">
        <v>3381</v>
      </c>
      <c r="B44" s="184" t="n">
        <f aca="false">$B$25*$B$23/1000000</f>
        <v>3.6949</v>
      </c>
      <c r="C44" s="184" t="n">
        <f aca="false">$B$25*$B$23/1000000</f>
        <v>3.6949</v>
      </c>
      <c r="D44" s="184" t="n">
        <f aca="false">$B$25*$B$23/1000000</f>
        <v>3.6949</v>
      </c>
      <c r="E44" s="3" t="s">
        <v>3377</v>
      </c>
      <c r="F44" s="3"/>
      <c r="G44" s="3"/>
      <c r="H44" s="3"/>
      <c r="I44" s="3"/>
    </row>
    <row r="45" customFormat="false" ht="15" hidden="false" customHeight="true" outlineLevel="0" collapsed="false">
      <c r="A45" s="9" t="s">
        <v>3382</v>
      </c>
      <c r="B45" s="184" t="n">
        <f aca="false">$B$23/1000000-B41-B42-B43-B44</f>
        <v>185.337984</v>
      </c>
      <c r="C45" s="184" t="n">
        <f aca="false">$B$23/1000000-C41-C42-C43-C44</f>
        <v>179.337984</v>
      </c>
      <c r="D45" s="184" t="n">
        <f aca="false">$B$23/1000000-D41-D42-D43-D44</f>
        <v>171.337984</v>
      </c>
      <c r="E45" s="3" t="s">
        <v>3383</v>
      </c>
      <c r="F45" s="3"/>
      <c r="G45" s="3"/>
      <c r="H45" s="3"/>
      <c r="I45" s="3"/>
    </row>
    <row r="47" customFormat="false" ht="18" hidden="false" customHeight="true" outlineLevel="0" collapsed="false">
      <c r="A47" s="127" t="s">
        <v>3384</v>
      </c>
      <c r="B47" s="127"/>
      <c r="C47" s="127"/>
      <c r="D47" s="127"/>
      <c r="E47" s="127"/>
      <c r="F47" s="127"/>
      <c r="G47" s="127"/>
      <c r="H47" s="127"/>
      <c r="I47" s="127"/>
    </row>
    <row r="48" customFormat="false" ht="25.5" hidden="false" customHeight="true" outlineLevel="0" collapsed="false">
      <c r="A48" s="190" t="s">
        <v>3385</v>
      </c>
      <c r="B48" s="190" t="s">
        <v>3309</v>
      </c>
      <c r="C48" s="190" t="s">
        <v>3310</v>
      </c>
      <c r="D48" s="190" t="s">
        <v>276</v>
      </c>
      <c r="E48" s="190" t="s">
        <v>3386</v>
      </c>
    </row>
    <row r="49" customFormat="false" ht="15" hidden="false" customHeight="true" outlineLevel="0" collapsed="false">
      <c r="A49" s="9" t="s">
        <v>3387</v>
      </c>
      <c r="B49" s="184" t="n">
        <f aca="false">$B$17/1000000</f>
        <v>11.3</v>
      </c>
      <c r="C49" s="184" t="n">
        <f aca="false">$B$17/1000000</f>
        <v>11.3</v>
      </c>
      <c r="D49" s="184" t="n">
        <f aca="false">$B$17/1000000</f>
        <v>11.3</v>
      </c>
      <c r="E49" s="3" t="s">
        <v>3388</v>
      </c>
      <c r="F49" s="3"/>
      <c r="G49" s="3"/>
      <c r="H49" s="3"/>
      <c r="I49" s="3"/>
    </row>
    <row r="50" customFormat="false" ht="15" hidden="false" customHeight="true" outlineLevel="0" collapsed="false">
      <c r="A50" s="9" t="s">
        <v>3389</v>
      </c>
      <c r="B50" s="184" t="n">
        <f aca="false">($B$13-Utilization_Normalized!C17)/1000000*$B$20/1000*B30</f>
        <v>11.6247936555309</v>
      </c>
      <c r="C50" s="184" t="n">
        <f aca="false">($B$13-Utilization_Normalized!C17)/1000000*$B$20/1000*C30</f>
        <v>13.949752386637</v>
      </c>
      <c r="D50" s="184" t="n">
        <f aca="false">($B$13-Utilization_Normalized!C17)/1000000*$B$20/1000*D30</f>
        <v>15.4997248740411</v>
      </c>
      <c r="E50" s="3" t="s">
        <v>3390</v>
      </c>
      <c r="F50" s="3"/>
      <c r="G50" s="3"/>
      <c r="H50" s="3"/>
      <c r="I50" s="3"/>
    </row>
    <row r="51" customFormat="false" ht="15" hidden="false" customHeight="true" outlineLevel="0" collapsed="false">
      <c r="A51" s="9" t="s">
        <v>3378</v>
      </c>
      <c r="B51" s="184" t="n">
        <f aca="false">B42*B32/1000</f>
        <v>5.2</v>
      </c>
      <c r="C51" s="184" t="n">
        <f aca="false">C42*C32/1000</f>
        <v>8.12</v>
      </c>
      <c r="D51" s="184" t="n">
        <f aca="false">D42*D32/1000</f>
        <v>11.88</v>
      </c>
      <c r="E51" s="3" t="s">
        <v>3391</v>
      </c>
      <c r="F51" s="3"/>
      <c r="G51" s="3"/>
      <c r="H51" s="3"/>
      <c r="I51" s="3"/>
    </row>
    <row r="52" customFormat="false" ht="15" hidden="false" customHeight="true" outlineLevel="0" collapsed="false">
      <c r="A52" s="9" t="s">
        <v>3392</v>
      </c>
      <c r="B52" s="184" t="n">
        <f aca="false">B45*B34/1000</f>
        <v>4.6334496</v>
      </c>
      <c r="C52" s="184" t="n">
        <f aca="false">C45*C34/1000</f>
        <v>6.27682944</v>
      </c>
      <c r="D52" s="184" t="n">
        <f aca="false">D45*D34/1000</f>
        <v>8.5668992</v>
      </c>
      <c r="E52" s="3" t="s">
        <v>3393</v>
      </c>
      <c r="F52" s="3"/>
      <c r="G52" s="3"/>
      <c r="H52" s="3"/>
      <c r="I52" s="3"/>
    </row>
    <row r="53" customFormat="false" ht="15" hidden="false" customHeight="true" outlineLevel="0" collapsed="false">
      <c r="A53" s="9" t="s">
        <v>3394</v>
      </c>
      <c r="B53" s="184" t="n">
        <f aca="false">B43*B36/1000</f>
        <v>1.20924</v>
      </c>
      <c r="C53" s="184" t="n">
        <f aca="false">C43*C36/1000</f>
        <v>1.61232</v>
      </c>
      <c r="D53" s="184" t="n">
        <f aca="false">D43*D36/1000</f>
        <v>2.14976</v>
      </c>
      <c r="E53" s="3" t="s">
        <v>3395</v>
      </c>
      <c r="F53" s="3"/>
      <c r="G53" s="3"/>
      <c r="H53" s="3"/>
      <c r="I53" s="3"/>
    </row>
    <row r="54" customFormat="false" ht="15" hidden="false" customHeight="true" outlineLevel="0" collapsed="false">
      <c r="A54" s="53" t="s">
        <v>3396</v>
      </c>
      <c r="B54" s="202" t="n">
        <f aca="false">SUM(B49:B53)</f>
        <v>33.9674832555309</v>
      </c>
      <c r="C54" s="202" t="n">
        <f aca="false">SUM(C49:C53)</f>
        <v>41.258901826637</v>
      </c>
      <c r="D54" s="202" t="n">
        <f aca="false">SUM(D49:D53)</f>
        <v>49.3963840740411</v>
      </c>
    </row>
    <row r="56" customFormat="false" ht="18" hidden="false" customHeight="true" outlineLevel="0" collapsed="false">
      <c r="A56" s="127" t="s">
        <v>3397</v>
      </c>
      <c r="B56" s="127"/>
      <c r="C56" s="127"/>
      <c r="D56" s="127"/>
      <c r="E56" s="127"/>
      <c r="F56" s="127"/>
      <c r="G56" s="127"/>
      <c r="H56" s="127"/>
      <c r="I56" s="127"/>
    </row>
    <row r="57" customFormat="false" ht="25.5" hidden="false" customHeight="true" outlineLevel="0" collapsed="false">
      <c r="A57" s="190" t="s">
        <v>3398</v>
      </c>
      <c r="B57" s="190" t="s">
        <v>3309</v>
      </c>
      <c r="C57" s="190" t="s">
        <v>3310</v>
      </c>
      <c r="D57" s="190" t="s">
        <v>276</v>
      </c>
      <c r="E57" s="190" t="s">
        <v>3399</v>
      </c>
    </row>
    <row r="58" customFormat="false" ht="15" hidden="false" customHeight="true" outlineLevel="0" collapsed="false">
      <c r="A58" s="9" t="s">
        <v>3400</v>
      </c>
      <c r="B58" s="203" t="n">
        <f aca="false">B49*1000000*$B$19</f>
        <v>5370751716.1028</v>
      </c>
      <c r="C58" s="203" t="n">
        <f aca="false">C49*1000000*$B$19</f>
        <v>5370751716.1028</v>
      </c>
      <c r="D58" s="203" t="n">
        <f aca="false">D49*1000000*$B$19</f>
        <v>5370751716.1028</v>
      </c>
      <c r="E58" s="3" t="s">
        <v>3401</v>
      </c>
      <c r="F58" s="3"/>
      <c r="G58" s="3"/>
      <c r="H58" s="3"/>
      <c r="I58" s="3"/>
    </row>
    <row r="59" customFormat="false" ht="15" hidden="false" customHeight="true" outlineLevel="0" collapsed="false">
      <c r="A59" s="9" t="s">
        <v>3389</v>
      </c>
      <c r="B59" s="203" t="n">
        <f aca="false">B50*1000000*$B$19*B31</f>
        <v>5525122165.91002</v>
      </c>
      <c r="C59" s="203" t="n">
        <f aca="false">C50*1000000*$B$19*C31</f>
        <v>6961653929.04663</v>
      </c>
      <c r="D59" s="203" t="n">
        <f aca="false">D50*1000000*$B$19*D31</f>
        <v>8471853987.7287</v>
      </c>
      <c r="E59" s="3" t="s">
        <v>3402</v>
      </c>
      <c r="F59" s="3"/>
      <c r="G59" s="3"/>
      <c r="H59" s="3"/>
      <c r="I59" s="3"/>
    </row>
    <row r="60" customFormat="false" ht="15" hidden="false" customHeight="true" outlineLevel="0" collapsed="false">
      <c r="A60" s="9" t="s">
        <v>3403</v>
      </c>
      <c r="B60" s="203" t="n">
        <f aca="false">B51*1000000*$B$19*B33</f>
        <v>1359323000.71274</v>
      </c>
      <c r="C60" s="203" t="n">
        <f aca="false">C51*1000000*$B$19*C33</f>
        <v>2701535641.97596</v>
      </c>
      <c r="D60" s="203" t="n">
        <f aca="false">D51*1000000*$B$19*D33</f>
        <v>4799455825.59346</v>
      </c>
      <c r="E60" s="3" t="s">
        <v>3404</v>
      </c>
      <c r="F60" s="3"/>
      <c r="G60" s="3"/>
      <c r="H60" s="3"/>
      <c r="I60" s="3"/>
    </row>
    <row r="61" customFormat="false" ht="15" hidden="false" customHeight="true" outlineLevel="0" collapsed="false">
      <c r="A61" s="9" t="s">
        <v>3392</v>
      </c>
      <c r="B61" s="203" t="n">
        <f aca="false">B52*1000000*$B$19*B35</f>
        <v>3523555028.76826</v>
      </c>
      <c r="C61" s="203" t="n">
        <f aca="false">C52*1000000*$B$19*C35</f>
        <v>5369940396.08993</v>
      </c>
      <c r="D61" s="203" t="n">
        <f aca="false">D52*1000000*$B$19*D35</f>
        <v>8143484704.43888</v>
      </c>
      <c r="E61" s="3" t="s">
        <v>3405</v>
      </c>
      <c r="F61" s="3"/>
      <c r="G61" s="3"/>
      <c r="H61" s="3"/>
      <c r="I61" s="3"/>
    </row>
    <row r="62" customFormat="false" ht="15" hidden="false" customHeight="true" outlineLevel="0" collapsed="false">
      <c r="A62" s="9" t="s">
        <v>3406</v>
      </c>
      <c r="B62" s="203" t="n">
        <f aca="false">B53*1000000*$B$19*B37</f>
        <v>86210546.0864621</v>
      </c>
      <c r="C62" s="203" t="n">
        <f aca="false">C53*1000000*$B$19*C37</f>
        <v>191578991.303249</v>
      </c>
      <c r="D62" s="203" t="n">
        <f aca="false">D53*1000000*$B$19*D37</f>
        <v>357614117.099399</v>
      </c>
      <c r="E62" s="3" t="s">
        <v>3407</v>
      </c>
      <c r="F62" s="3"/>
      <c r="G62" s="3"/>
      <c r="H62" s="3"/>
      <c r="I62" s="3"/>
    </row>
    <row r="63" customFormat="false" ht="23.25" hidden="false" customHeight="true" outlineLevel="0" collapsed="false">
      <c r="A63" s="21" t="s">
        <v>3408</v>
      </c>
      <c r="B63" s="204" t="n">
        <f aca="false">SUM(B58:B62)</f>
        <v>15864962457.5803</v>
      </c>
      <c r="C63" s="204" t="n">
        <f aca="false">SUM(C58:C62)</f>
        <v>20595460674.5186</v>
      </c>
      <c r="D63" s="204" t="n">
        <f aca="false">SUM(D58:D62)</f>
        <v>27143160350.9632</v>
      </c>
    </row>
    <row r="64" customFormat="false" ht="21.75" hidden="false" customHeight="true" outlineLevel="0" collapsed="false">
      <c r="A64" s="53" t="s">
        <v>3409</v>
      </c>
      <c r="B64" s="205" t="n">
        <f aca="false">B63*$B$22</f>
        <v>9993813447.16023</v>
      </c>
      <c r="C64" s="205" t="n">
        <f aca="false">C63*$B$22</f>
        <v>12973695487.1342</v>
      </c>
      <c r="D64" s="205" t="n">
        <f aca="false">D63*$B$22</f>
        <v>17098286972.8931</v>
      </c>
      <c r="E64" s="3" t="s">
        <v>3410</v>
      </c>
      <c r="F64" s="3"/>
      <c r="G64" s="3"/>
      <c r="H64" s="3"/>
      <c r="I64" s="3"/>
    </row>
    <row r="66" customFormat="false" ht="18" hidden="false" customHeight="true" outlineLevel="0" collapsed="false">
      <c r="A66" s="127" t="s">
        <v>3411</v>
      </c>
      <c r="B66" s="127"/>
      <c r="C66" s="127"/>
      <c r="D66" s="127"/>
      <c r="E66" s="127"/>
      <c r="F66" s="127"/>
      <c r="G66" s="127"/>
      <c r="H66" s="127"/>
      <c r="I66" s="127"/>
    </row>
    <row r="67" customFormat="false" ht="25.5" hidden="false" customHeight="true" outlineLevel="0" collapsed="false">
      <c r="A67" s="190" t="s">
        <v>3412</v>
      </c>
      <c r="B67" s="190" t="s">
        <v>3309</v>
      </c>
      <c r="C67" s="190" t="s">
        <v>3310</v>
      </c>
      <c r="D67" s="190" t="s">
        <v>276</v>
      </c>
      <c r="E67" s="190" t="s">
        <v>3413</v>
      </c>
    </row>
    <row r="68" customFormat="false" ht="15" hidden="false" customHeight="true" outlineLevel="0" collapsed="false">
      <c r="A68" s="9" t="s">
        <v>3414</v>
      </c>
      <c r="B68" s="133" t="str">
        <f aca="false">IF(B63&gt;=$B$17*$B$19,"PASS","FAIL")</f>
        <v>PASS</v>
      </c>
      <c r="C68" s="133" t="str">
        <f aca="false">IF(C63&gt;=$B$17*$B$19,"PASS","FAIL")</f>
        <v>PASS</v>
      </c>
      <c r="D68" s="133" t="str">
        <f aca="false">IF(D63&gt;=$B$17*$B$19,"PASS","FAIL")</f>
        <v>PASS</v>
      </c>
      <c r="E68" s="3" t="s">
        <v>3415</v>
      </c>
      <c r="F68" s="3"/>
      <c r="G68" s="3"/>
      <c r="H68" s="3"/>
      <c r="I68" s="3"/>
    </row>
    <row r="69" customFormat="false" ht="15" hidden="false" customHeight="true" outlineLevel="0" collapsed="false">
      <c r="A69" s="9" t="s">
        <v>3416</v>
      </c>
      <c r="B69" s="184" t="n">
        <f aca="false">B54*1000000/$B$23*1000</f>
        <v>101.123796533286</v>
      </c>
      <c r="C69" s="184" t="n">
        <f aca="false">C54*1000000/$B$23*1000</f>
        <v>122.830907492221</v>
      </c>
      <c r="D69" s="184" t="n">
        <f aca="false">D54*1000000/$B$23*1000</f>
        <v>147.05681474856</v>
      </c>
      <c r="E69" s="3" t="s">
        <v>3417</v>
      </c>
      <c r="F69" s="3"/>
      <c r="G69" s="3"/>
      <c r="H69" s="3"/>
      <c r="I69" s="3"/>
    </row>
    <row r="70" customFormat="false" ht="15" hidden="false" customHeight="true" outlineLevel="0" collapsed="false">
      <c r="A70" s="9" t="s">
        <v>3418</v>
      </c>
      <c r="B70" s="181" t="n">
        <f aca="false">(B49+B50)/B54</f>
        <v>0.67490409822453</v>
      </c>
      <c r="C70" s="181" t="n">
        <f aca="false">(C49+C50)/C54</f>
        <v>0.611983142273933</v>
      </c>
      <c r="D70" s="181" t="n">
        <f aca="false">(D49+D50)/D54</f>
        <v>0.542544264654485</v>
      </c>
      <c r="E70" s="3" t="s">
        <v>3419</v>
      </c>
      <c r="F70" s="3"/>
      <c r="G70" s="3"/>
      <c r="H70" s="3"/>
      <c r="I70" s="3"/>
    </row>
    <row r="71" customFormat="false" ht="15" hidden="false" customHeight="true" outlineLevel="0" collapsed="false">
      <c r="A71" s="9" t="s">
        <v>3420</v>
      </c>
      <c r="B71" s="206" t="n">
        <f aca="false">B58/MedPAC_2026_Mandated!B8</f>
        <v>1.01334938039675</v>
      </c>
      <c r="C71" s="206" t="n">
        <f aca="false">C58/MedPAC_2026_Mandated!B8</f>
        <v>1.01334938039675</v>
      </c>
      <c r="D71" s="206" t="n">
        <f aca="false">D58/MedPAC_2026_Mandated!B8</f>
        <v>1.01334938039675</v>
      </c>
      <c r="E71" s="3" t="s">
        <v>3421</v>
      </c>
      <c r="F71" s="3"/>
      <c r="G71" s="3"/>
      <c r="H71" s="3"/>
      <c r="I71" s="3"/>
    </row>
    <row r="73" customFormat="false" ht="18" hidden="false" customHeight="true" outlineLevel="0" collapsed="false">
      <c r="A73" s="127" t="s">
        <v>3422</v>
      </c>
      <c r="B73" s="127"/>
      <c r="C73" s="127"/>
      <c r="D73" s="127"/>
      <c r="E73" s="127"/>
      <c r="F73" s="127"/>
      <c r="G73" s="127"/>
      <c r="H73" s="127"/>
      <c r="I73" s="127"/>
    </row>
    <row r="74" customFormat="false" ht="25.5" hidden="false" customHeight="true" outlineLevel="0" collapsed="false">
      <c r="A74" s="190" t="s">
        <v>2030</v>
      </c>
      <c r="B74" s="190" t="s">
        <v>3309</v>
      </c>
      <c r="C74" s="190" t="s">
        <v>3310</v>
      </c>
      <c r="D74" s="190" t="s">
        <v>276</v>
      </c>
      <c r="E74" s="190" t="s">
        <v>725</v>
      </c>
    </row>
    <row r="75" customFormat="false" ht="27.75" hidden="false" customHeight="true" outlineLevel="0" collapsed="false">
      <c r="A75" s="9" t="s">
        <v>3423</v>
      </c>
      <c r="B75" s="207" t="n">
        <f aca="false">(Utilization_Normalized!B18/Utilization_Normalized!B6)^(1/12)-1</f>
        <v>0.0236945128835531</v>
      </c>
      <c r="C75" s="208" t="n">
        <f aca="false">B75</f>
        <v>0.0236945128835531</v>
      </c>
      <c r="D75" s="208" t="n">
        <f aca="false">B75</f>
        <v>0.0236945128835531</v>
      </c>
      <c r="E75" s="3" t="s">
        <v>3424</v>
      </c>
      <c r="F75" s="3"/>
      <c r="G75" s="3"/>
      <c r="H75" s="3"/>
      <c r="I75" s="3"/>
    </row>
    <row r="76" customFormat="false" ht="27.75" hidden="false" customHeight="true" outlineLevel="0" collapsed="false">
      <c r="A76" s="9" t="s">
        <v>3425</v>
      </c>
      <c r="B76" s="209" t="n">
        <f aca="false">(B49+B50)/B54</f>
        <v>0.67490409822453</v>
      </c>
      <c r="C76" s="209" t="n">
        <f aca="false">(C49+C50)/C54</f>
        <v>0.611983142273933</v>
      </c>
      <c r="D76" s="209" t="n">
        <f aca="false">(D49+D50)/D54</f>
        <v>0.542544264654485</v>
      </c>
      <c r="E76" s="3" t="s">
        <v>3426</v>
      </c>
      <c r="F76" s="3"/>
      <c r="G76" s="3"/>
      <c r="H76" s="3"/>
      <c r="I76" s="3"/>
    </row>
    <row r="77" customFormat="false" ht="27.75" hidden="false" customHeight="true" outlineLevel="0" collapsed="false">
      <c r="A77" s="9" t="s">
        <v>3427</v>
      </c>
      <c r="B77" s="210" t="n">
        <v>0.002</v>
      </c>
      <c r="C77" s="210" t="n">
        <v>0.003</v>
      </c>
      <c r="D77" s="210" t="n">
        <v>0.004</v>
      </c>
      <c r="E77" s="3" t="s">
        <v>3428</v>
      </c>
      <c r="F77" s="3"/>
      <c r="G77" s="3"/>
      <c r="H77" s="3"/>
      <c r="I77" s="3"/>
    </row>
    <row r="78" customFormat="false" ht="27.75" hidden="false" customHeight="true" outlineLevel="0" collapsed="false">
      <c r="A78" s="9" t="s">
        <v>3429</v>
      </c>
      <c r="B78" s="210" t="n">
        <v>-0.005</v>
      </c>
      <c r="C78" s="210" t="n">
        <v>0</v>
      </c>
      <c r="D78" s="210" t="n">
        <v>0.005</v>
      </c>
      <c r="E78" s="3" t="s">
        <v>3430</v>
      </c>
      <c r="F78" s="3"/>
      <c r="G78" s="3"/>
      <c r="H78" s="3"/>
      <c r="I78" s="3"/>
    </row>
    <row r="79" customFormat="false" ht="27.75" hidden="false" customHeight="true" outlineLevel="0" collapsed="false">
      <c r="A79" s="9" t="s">
        <v>3431</v>
      </c>
      <c r="B79" s="209" t="n">
        <f aca="false">B75* B76 + B77*(1-B76) + B78</f>
        <v>0.0116417156540948</v>
      </c>
      <c r="C79" s="209" t="n">
        <f aca="false">C75* C76 + C77*(1-C76) + C78</f>
        <v>0.0156646930223052</v>
      </c>
      <c r="D79" s="209" t="n">
        <f aca="false">D75* D76 + D77*(1-D76) + D78</f>
        <v>0.0196851450101356</v>
      </c>
      <c r="E79" s="3"/>
      <c r="F79" s="3"/>
      <c r="G79" s="3"/>
      <c r="H79" s="3"/>
      <c r="I79" s="3"/>
    </row>
    <row r="80" customFormat="false" ht="27.75" hidden="false" customHeight="true" outlineLevel="0" collapsed="false">
      <c r="A80" s="9" t="s">
        <v>3432</v>
      </c>
      <c r="B80" s="210" t="n">
        <v>0.016</v>
      </c>
      <c r="C80" s="210" t="n">
        <v>0.025</v>
      </c>
      <c r="D80" s="210" t="n">
        <v>0.032</v>
      </c>
      <c r="E80" s="3" t="s">
        <v>3433</v>
      </c>
      <c r="F80" s="3"/>
      <c r="G80" s="3"/>
      <c r="H80" s="3"/>
      <c r="I80" s="3"/>
    </row>
    <row r="81" customFormat="false" ht="27.75" hidden="false" customHeight="true" outlineLevel="0" collapsed="false">
      <c r="A81" s="211" t="s">
        <v>3434</v>
      </c>
      <c r="B81" s="212" t="n">
        <f aca="false">(1+B79)*(1+B80)-1</f>
        <v>0.0278279831045605</v>
      </c>
      <c r="C81" s="212" t="n">
        <f aca="false">(1+C79)*(1+C80)-1</f>
        <v>0.0410563103478627</v>
      </c>
      <c r="D81" s="212" t="n">
        <f aca="false">(1+D79)*(1+D80)-1</f>
        <v>0.05231506965046</v>
      </c>
      <c r="E81" s="3"/>
      <c r="F81" s="3"/>
      <c r="G81" s="3"/>
      <c r="H81" s="3"/>
      <c r="I81" s="3"/>
    </row>
    <row r="82" customFormat="false" ht="27.75" hidden="false" customHeight="true" outlineLevel="0" collapsed="false">
      <c r="A82" s="9" t="s">
        <v>3435</v>
      </c>
      <c r="B82" s="205" t="n">
        <f aca="false">B63*(1+B81)^6</f>
        <v>18705170578.9969</v>
      </c>
      <c r="C82" s="205" t="n">
        <f aca="false">C63*(1+C81)^6</f>
        <v>26219043037.56</v>
      </c>
      <c r="D82" s="205" t="n">
        <f aca="false">D63*(1+D81)^6</f>
        <v>36858287290.9531</v>
      </c>
      <c r="E82" s="3"/>
      <c r="F82" s="3"/>
      <c r="G82" s="3"/>
      <c r="H82" s="3"/>
      <c r="I82" s="3"/>
    </row>
    <row r="84" customFormat="false" ht="18" hidden="false" customHeight="true" outlineLevel="0" collapsed="false">
      <c r="A84" s="127" t="s">
        <v>3436</v>
      </c>
      <c r="B84" s="127"/>
      <c r="C84" s="127"/>
      <c r="D84" s="127"/>
      <c r="E84" s="127"/>
      <c r="F84" s="127"/>
      <c r="G84" s="127"/>
      <c r="H84" s="127"/>
      <c r="I84" s="127"/>
    </row>
    <row r="85" customFormat="false" ht="54" hidden="false" customHeight="true" outlineLevel="0" collapsed="false">
      <c r="A85" s="8" t="s">
        <v>3437</v>
      </c>
      <c r="B85" s="9" t="s">
        <v>3438</v>
      </c>
      <c r="C85" s="9"/>
      <c r="D85" s="9"/>
      <c r="E85" s="9"/>
      <c r="F85" s="9"/>
      <c r="G85" s="9"/>
      <c r="H85" s="9"/>
      <c r="I85" s="9"/>
    </row>
    <row r="86" customFormat="false" ht="54" hidden="false" customHeight="true" outlineLevel="0" collapsed="false">
      <c r="A86" s="8" t="s">
        <v>3439</v>
      </c>
      <c r="B86" s="9" t="s">
        <v>3440</v>
      </c>
      <c r="C86" s="9"/>
      <c r="D86" s="9"/>
      <c r="E86" s="9"/>
      <c r="F86" s="9"/>
      <c r="G86" s="9"/>
      <c r="H86" s="9"/>
      <c r="I86" s="9"/>
    </row>
    <row r="87" customFormat="false" ht="54" hidden="false" customHeight="true" outlineLevel="0" collapsed="false">
      <c r="A87" s="8" t="s">
        <v>3441</v>
      </c>
      <c r="B87" s="9" t="s">
        <v>3442</v>
      </c>
      <c r="C87" s="9"/>
      <c r="D87" s="9"/>
      <c r="E87" s="9"/>
      <c r="F87" s="9"/>
      <c r="G87" s="9"/>
      <c r="H87" s="9"/>
      <c r="I87" s="9"/>
    </row>
    <row r="88" customFormat="false" ht="54" hidden="false" customHeight="true" outlineLevel="0" collapsed="false">
      <c r="A88" s="8" t="s">
        <v>3443</v>
      </c>
      <c r="B88" s="9" t="s">
        <v>3444</v>
      </c>
      <c r="C88" s="9"/>
      <c r="D88" s="9"/>
      <c r="E88" s="9"/>
      <c r="F88" s="9"/>
      <c r="G88" s="9"/>
      <c r="H88" s="9"/>
      <c r="I88" s="9"/>
    </row>
    <row r="89" customFormat="false" ht="54" hidden="false" customHeight="true" outlineLevel="0" collapsed="false">
      <c r="A89" s="8" t="s">
        <v>3445</v>
      </c>
      <c r="B89" s="9" t="s">
        <v>3446</v>
      </c>
      <c r="C89" s="9"/>
      <c r="D89" s="9"/>
      <c r="E89" s="9"/>
      <c r="F89" s="9"/>
      <c r="G89" s="9"/>
      <c r="H89" s="9"/>
      <c r="I89" s="9"/>
    </row>
  </sheetData>
  <mergeCells count="71">
    <mergeCell ref="A1:I1"/>
    <mergeCell ref="A2:I2"/>
    <mergeCell ref="A4:I4"/>
    <mergeCell ref="E6:I6"/>
    <mergeCell ref="E7:I7"/>
    <mergeCell ref="E8:I8"/>
    <mergeCell ref="E9:I9"/>
    <mergeCell ref="E10:I10"/>
    <mergeCell ref="A11:I11"/>
    <mergeCell ref="E13:I13"/>
    <mergeCell ref="E14:I14"/>
    <mergeCell ref="E15:I15"/>
    <mergeCell ref="E16:I16"/>
    <mergeCell ref="E17:I17"/>
    <mergeCell ref="E18:I18"/>
    <mergeCell ref="E19:I19"/>
    <mergeCell ref="E20:I20"/>
    <mergeCell ref="E21:I21"/>
    <mergeCell ref="E22:I22"/>
    <mergeCell ref="E23:I23"/>
    <mergeCell ref="E24:I24"/>
    <mergeCell ref="E25:I25"/>
    <mergeCell ref="A27:I27"/>
    <mergeCell ref="F29:I29"/>
    <mergeCell ref="F30:I30"/>
    <mergeCell ref="F31:I31"/>
    <mergeCell ref="F32:I32"/>
    <mergeCell ref="F33:I33"/>
    <mergeCell ref="F34:I34"/>
    <mergeCell ref="F35:I35"/>
    <mergeCell ref="F36:I36"/>
    <mergeCell ref="F37:I37"/>
    <mergeCell ref="A39:I39"/>
    <mergeCell ref="E41:I41"/>
    <mergeCell ref="E42:I42"/>
    <mergeCell ref="E43:I43"/>
    <mergeCell ref="E44:I44"/>
    <mergeCell ref="E45:I45"/>
    <mergeCell ref="A47:I47"/>
    <mergeCell ref="E49:I49"/>
    <mergeCell ref="E50:I50"/>
    <mergeCell ref="E51:I51"/>
    <mergeCell ref="E52:I52"/>
    <mergeCell ref="E53:I53"/>
    <mergeCell ref="A56:I56"/>
    <mergeCell ref="E58:I58"/>
    <mergeCell ref="E59:I59"/>
    <mergeCell ref="E60:I60"/>
    <mergeCell ref="E61:I61"/>
    <mergeCell ref="E62:I62"/>
    <mergeCell ref="E64:I64"/>
    <mergeCell ref="A66:I66"/>
    <mergeCell ref="E68:I68"/>
    <mergeCell ref="E69:I69"/>
    <mergeCell ref="E70:I70"/>
    <mergeCell ref="E71:I71"/>
    <mergeCell ref="A73:I73"/>
    <mergeCell ref="E75:I75"/>
    <mergeCell ref="E76:I76"/>
    <mergeCell ref="E77:I77"/>
    <mergeCell ref="E78:I78"/>
    <mergeCell ref="E79:I79"/>
    <mergeCell ref="E80:I80"/>
    <mergeCell ref="E81:I81"/>
    <mergeCell ref="E82:I82"/>
    <mergeCell ref="A84:I84"/>
    <mergeCell ref="B85:I85"/>
    <mergeCell ref="B86:I86"/>
    <mergeCell ref="B87:I87"/>
    <mergeCell ref="B88:I88"/>
    <mergeCell ref="B89:I8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2" min="2" style="1" width="44"/>
    <col collapsed="false" customWidth="true" hidden="false" outlineLevel="0" max="4" min="3" style="1" width="40"/>
    <col collapsed="false" customWidth="true" hidden="false" outlineLevel="0" max="5" min="5" style="1" width="18"/>
  </cols>
  <sheetData>
    <row r="1" customFormat="false" ht="24" hidden="false" customHeight="true" outlineLevel="0" collapsed="false">
      <c r="A1" s="14" t="s">
        <v>3447</v>
      </c>
      <c r="B1" s="14"/>
      <c r="C1" s="14"/>
      <c r="D1" s="14"/>
      <c r="E1" s="14"/>
    </row>
    <row r="2" customFormat="false" ht="42" hidden="false" customHeight="true" outlineLevel="0" collapsed="false">
      <c r="A2" s="5" t="s">
        <v>3448</v>
      </c>
      <c r="B2" s="5"/>
      <c r="C2" s="5"/>
      <c r="D2" s="5"/>
      <c r="E2" s="5"/>
    </row>
    <row r="3" customFormat="false" ht="13.5" hidden="false" customHeight="true" outlineLevel="0" collapsed="false"/>
    <row r="4" customFormat="false" ht="33.75" hidden="false" customHeight="true" outlineLevel="0" collapsed="false">
      <c r="A4" s="7" t="s">
        <v>3449</v>
      </c>
      <c r="B4" s="7" t="s">
        <v>3450</v>
      </c>
      <c r="C4" s="7" t="s">
        <v>3451</v>
      </c>
      <c r="D4" s="7" t="s">
        <v>3452</v>
      </c>
      <c r="E4" s="7" t="s">
        <v>3453</v>
      </c>
    </row>
    <row r="5" customFormat="false" ht="193.5" hidden="false" customHeight="true" outlineLevel="0" collapsed="false">
      <c r="A5" s="8" t="s">
        <v>3454</v>
      </c>
      <c r="B5" s="9" t="s">
        <v>3455</v>
      </c>
      <c r="C5" s="9" t="s">
        <v>3456</v>
      </c>
      <c r="D5" s="9" t="s">
        <v>3457</v>
      </c>
      <c r="E5" s="9" t="s">
        <v>3458</v>
      </c>
    </row>
    <row r="6" customFormat="false" ht="142.5" hidden="false" customHeight="true" outlineLevel="0" collapsed="false">
      <c r="A6" s="8" t="s">
        <v>3459</v>
      </c>
      <c r="B6" s="9" t="s">
        <v>3460</v>
      </c>
      <c r="C6" s="9" t="s">
        <v>3461</v>
      </c>
      <c r="D6" s="9" t="s">
        <v>3462</v>
      </c>
      <c r="E6" s="9" t="s">
        <v>3463</v>
      </c>
    </row>
    <row r="7" customFormat="false" ht="105" hidden="false" customHeight="true" outlineLevel="0" collapsed="false">
      <c r="A7" s="8" t="s">
        <v>3464</v>
      </c>
      <c r="B7" s="9" t="s">
        <v>3465</v>
      </c>
      <c r="C7" s="9" t="s">
        <v>3466</v>
      </c>
      <c r="D7" s="9" t="s">
        <v>3467</v>
      </c>
      <c r="E7" s="9" t="s">
        <v>3468</v>
      </c>
    </row>
    <row r="8" customFormat="false" ht="130.5" hidden="false" customHeight="true" outlineLevel="0" collapsed="false">
      <c r="A8" s="8" t="s">
        <v>3469</v>
      </c>
      <c r="B8" s="9" t="s">
        <v>3470</v>
      </c>
      <c r="C8" s="9" t="s">
        <v>3471</v>
      </c>
      <c r="D8" s="9" t="s">
        <v>3472</v>
      </c>
      <c r="E8" s="9" t="s">
        <v>3473</v>
      </c>
    </row>
    <row r="9" customFormat="false" ht="67.5" hidden="false" customHeight="true" outlineLevel="0" collapsed="false">
      <c r="A9" s="8" t="s">
        <v>3474</v>
      </c>
      <c r="B9" s="9" t="s">
        <v>3475</v>
      </c>
      <c r="C9" s="9" t="s">
        <v>3476</v>
      </c>
      <c r="D9" s="9" t="s">
        <v>3477</v>
      </c>
      <c r="E9" s="9" t="s">
        <v>3478</v>
      </c>
    </row>
    <row r="10" customFormat="false" ht="67.5" hidden="false" customHeight="true" outlineLevel="0" collapsed="false">
      <c r="A10" s="8" t="s">
        <v>3479</v>
      </c>
      <c r="B10" s="9" t="s">
        <v>3480</v>
      </c>
      <c r="C10" s="9" t="s">
        <v>3481</v>
      </c>
      <c r="D10" s="9" t="s">
        <v>3482</v>
      </c>
      <c r="E10" s="9" t="s">
        <v>3483</v>
      </c>
    </row>
    <row r="11" customFormat="false" ht="54.75" hidden="false" customHeight="true" outlineLevel="0" collapsed="false">
      <c r="A11" s="8" t="s">
        <v>3484</v>
      </c>
      <c r="B11" s="9" t="s">
        <v>3485</v>
      </c>
      <c r="C11" s="9" t="s">
        <v>3486</v>
      </c>
      <c r="D11" s="9" t="s">
        <v>3487</v>
      </c>
      <c r="E11" s="9" t="s">
        <v>3488</v>
      </c>
    </row>
    <row r="12" customFormat="false" ht="9.75" hidden="false" customHeight="true" outlineLevel="0" collapsed="false"/>
    <row r="13" customFormat="false" ht="19.5" hidden="false" customHeight="true" outlineLevel="0" collapsed="false">
      <c r="A13" s="15" t="s">
        <v>3489</v>
      </c>
      <c r="B13" s="15"/>
      <c r="C13" s="15"/>
      <c r="D13" s="15"/>
      <c r="E13" s="15"/>
    </row>
    <row r="14" customFormat="false" ht="24" hidden="false" customHeight="true" outlineLevel="0" collapsed="false">
      <c r="A14" s="7" t="s">
        <v>3490</v>
      </c>
      <c r="B14" s="7" t="s">
        <v>3491</v>
      </c>
      <c r="C14" s="7" t="s">
        <v>721</v>
      </c>
    </row>
    <row r="15" customFormat="false" ht="30" hidden="false" customHeight="true" outlineLevel="0" collapsed="false">
      <c r="A15" s="9" t="s">
        <v>3492</v>
      </c>
      <c r="B15" s="9" t="s">
        <v>3493</v>
      </c>
      <c r="C15" s="9" t="s">
        <v>3494</v>
      </c>
    </row>
    <row r="16" customFormat="false" ht="42" hidden="false" customHeight="true" outlineLevel="0" collapsed="false">
      <c r="A16" s="9" t="s">
        <v>3495</v>
      </c>
      <c r="B16" s="9" t="s">
        <v>3496</v>
      </c>
      <c r="C16" s="9" t="s">
        <v>3497</v>
      </c>
    </row>
    <row r="17" customFormat="false" ht="30" hidden="false" customHeight="true" outlineLevel="0" collapsed="false">
      <c r="A17" s="9" t="s">
        <v>3498</v>
      </c>
      <c r="B17" s="9" t="s">
        <v>3499</v>
      </c>
      <c r="C17" s="9" t="s">
        <v>3500</v>
      </c>
    </row>
    <row r="18" customFormat="false" ht="42" hidden="false" customHeight="true" outlineLevel="0" collapsed="false">
      <c r="A18" s="9" t="s">
        <v>3501</v>
      </c>
      <c r="B18" s="9" t="s">
        <v>3502</v>
      </c>
      <c r="C18" s="9" t="s">
        <v>3503</v>
      </c>
    </row>
    <row r="19" customFormat="false" ht="30" hidden="false" customHeight="true" outlineLevel="0" collapsed="false">
      <c r="A19" s="9" t="s">
        <v>3504</v>
      </c>
      <c r="B19" s="9" t="s">
        <v>3505</v>
      </c>
      <c r="C19" s="9" t="s">
        <v>1367</v>
      </c>
    </row>
    <row r="20" customFormat="false" ht="42" hidden="false" customHeight="true" outlineLevel="0" collapsed="false">
      <c r="A20" s="9" t="s">
        <v>3506</v>
      </c>
      <c r="B20" s="9" t="s">
        <v>3507</v>
      </c>
      <c r="C20" s="9" t="s">
        <v>3508</v>
      </c>
    </row>
    <row r="21" customFormat="false" ht="9.75" hidden="false" customHeight="true" outlineLevel="0" collapsed="false"/>
    <row r="22" customFormat="false" ht="30" hidden="false" customHeight="true" outlineLevel="0" collapsed="false">
      <c r="A22" s="5" t="s">
        <v>3509</v>
      </c>
      <c r="B22" s="5"/>
      <c r="C22" s="5"/>
      <c r="D22" s="5"/>
      <c r="E22" s="5"/>
    </row>
  </sheetData>
  <mergeCells count="4">
    <mergeCell ref="A1:E1"/>
    <mergeCell ref="A2:E2"/>
    <mergeCell ref="A13:E13"/>
    <mergeCell ref="A22:E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F8B"/>
    <pageSetUpPr fitToPage="true"/>
  </sheetPr>
  <dimension ref="A1:G8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3" min="2" style="1" width="15"/>
    <col collapsed="false" customWidth="true" hidden="false" outlineLevel="0" max="4" min="4" style="1" width="10"/>
    <col collapsed="false" customWidth="true" hidden="false" outlineLevel="0" max="5" min="5" style="1" width="62"/>
    <col collapsed="false" customWidth="true" hidden="false" outlineLevel="0" max="6" min="6" style="1" width="15"/>
    <col collapsed="false" customWidth="true" hidden="false" outlineLevel="0" max="7" min="7" style="1" width="11"/>
  </cols>
  <sheetData>
    <row r="1" customFormat="false" ht="24" hidden="false" customHeight="true" outlineLevel="0" collapsed="false">
      <c r="A1" s="14" t="s">
        <v>3510</v>
      </c>
      <c r="B1" s="14"/>
      <c r="C1" s="14"/>
      <c r="D1" s="14"/>
      <c r="E1" s="14"/>
      <c r="F1" s="14"/>
      <c r="G1" s="14"/>
    </row>
    <row r="2" customFormat="false" ht="30" hidden="false" customHeight="true" outlineLevel="0" collapsed="false">
      <c r="A2" s="3" t="s">
        <v>3511</v>
      </c>
      <c r="B2" s="3"/>
      <c r="C2" s="3"/>
      <c r="D2" s="3"/>
      <c r="E2" s="3"/>
      <c r="F2" s="3"/>
      <c r="G2" s="3"/>
    </row>
    <row r="3" customFormat="false" ht="13.5" hidden="false" customHeight="true" outlineLevel="0" collapsed="false"/>
    <row r="4" customFormat="false" ht="16.5" hidden="false" customHeight="true" outlineLevel="0" collapsed="false">
      <c r="A4" s="15" t="s">
        <v>3512</v>
      </c>
      <c r="B4" s="15"/>
      <c r="C4" s="15"/>
      <c r="D4" s="15"/>
      <c r="E4" s="15"/>
      <c r="F4" s="15"/>
      <c r="G4" s="15"/>
    </row>
    <row r="5" customFormat="false" ht="24" hidden="false" customHeight="true" outlineLevel="0" collapsed="false">
      <c r="A5" s="16" t="s">
        <v>1902</v>
      </c>
      <c r="B5" s="16" t="s">
        <v>581</v>
      </c>
      <c r="C5" s="16" t="s">
        <v>725</v>
      </c>
      <c r="D5" s="16" t="s">
        <v>2085</v>
      </c>
    </row>
    <row r="6" customFormat="false" ht="105" hidden="false" customHeight="true" outlineLevel="0" collapsed="false">
      <c r="A6" s="9" t="s">
        <v>3513</v>
      </c>
      <c r="B6" s="100" t="n">
        <v>2673</v>
      </c>
      <c r="C6" s="213" t="s">
        <v>735</v>
      </c>
      <c r="D6" s="18" t="s">
        <v>3514</v>
      </c>
    </row>
    <row r="7" customFormat="false" ht="219" hidden="false" customHeight="true" outlineLevel="0" collapsed="false">
      <c r="A7" s="9" t="s">
        <v>927</v>
      </c>
      <c r="B7" s="100" t="n">
        <v>1788</v>
      </c>
      <c r="C7" s="213" t="s">
        <v>735</v>
      </c>
      <c r="D7" s="48" t="s">
        <v>3515</v>
      </c>
    </row>
    <row r="8" customFormat="false" ht="93" hidden="false" customHeight="true" outlineLevel="0" collapsed="false">
      <c r="A8" s="9" t="s">
        <v>3516</v>
      </c>
      <c r="B8" s="100" t="n">
        <v>3127</v>
      </c>
      <c r="C8" s="213" t="s">
        <v>735</v>
      </c>
      <c r="D8" s="18" t="s">
        <v>3517</v>
      </c>
    </row>
    <row r="9" customFormat="false" ht="30" hidden="false" customHeight="true" outlineLevel="0" collapsed="false">
      <c r="A9" s="9" t="s">
        <v>3518</v>
      </c>
      <c r="B9" s="166" t="n">
        <f aca="false">B8/B7</f>
        <v>1.74888143176734</v>
      </c>
      <c r="C9" s="17" t="s">
        <v>751</v>
      </c>
      <c r="D9" s="214"/>
    </row>
    <row r="10" customFormat="false" ht="300" hidden="false" customHeight="true" outlineLevel="0" collapsed="false">
      <c r="A10" s="9" t="s">
        <v>3519</v>
      </c>
      <c r="B10" s="101" t="n">
        <v>0.694</v>
      </c>
      <c r="C10" s="17" t="s">
        <v>735</v>
      </c>
      <c r="D10" s="18" t="s">
        <v>3520</v>
      </c>
    </row>
    <row r="11" customFormat="false" ht="142.5" hidden="false" customHeight="true" outlineLevel="0" collapsed="false">
      <c r="A11" s="9" t="s">
        <v>3521</v>
      </c>
      <c r="B11" s="101" t="n">
        <v>0.605</v>
      </c>
      <c r="C11" s="17" t="s">
        <v>735</v>
      </c>
      <c r="D11" s="18" t="s">
        <v>3522</v>
      </c>
    </row>
    <row r="12" customFormat="false" ht="9.75" hidden="false" customHeight="true" outlineLevel="0" collapsed="false"/>
    <row r="13" customFormat="false" ht="54.75" hidden="false" customHeight="true" outlineLevel="0" collapsed="false">
      <c r="A13" s="21" t="s">
        <v>3523</v>
      </c>
    </row>
    <row r="14" customFormat="false" ht="33.75" hidden="false" customHeight="true" outlineLevel="0" collapsed="false">
      <c r="A14" s="16" t="s">
        <v>3524</v>
      </c>
      <c r="B14" s="16" t="s">
        <v>3525</v>
      </c>
      <c r="C14" s="16" t="s">
        <v>3526</v>
      </c>
      <c r="D14" s="16" t="s">
        <v>3527</v>
      </c>
      <c r="E14" s="16" t="s">
        <v>725</v>
      </c>
    </row>
    <row r="15" customFormat="false" ht="15" hidden="false" customHeight="true" outlineLevel="0" collapsed="false">
      <c r="A15" s="124" t="s">
        <v>1862</v>
      </c>
      <c r="B15" s="215" t="n">
        <v>0.620723</v>
      </c>
      <c r="C15" s="98" t="n">
        <v>5888</v>
      </c>
      <c r="D15" s="216"/>
      <c r="E15" s="17" t="s">
        <v>940</v>
      </c>
    </row>
    <row r="16" customFormat="false" ht="15" hidden="false" customHeight="true" outlineLevel="0" collapsed="false">
      <c r="A16" s="124" t="s">
        <v>1163</v>
      </c>
      <c r="B16" s="215" t="n">
        <v>0.656925</v>
      </c>
      <c r="C16" s="98" t="n">
        <v>5875</v>
      </c>
      <c r="D16" s="217" t="n">
        <f aca="false">(B16-B15)*100</f>
        <v>3.6202</v>
      </c>
      <c r="E16" s="17" t="s">
        <v>940</v>
      </c>
    </row>
    <row r="17" customFormat="false" ht="15" hidden="false" customHeight="true" outlineLevel="0" collapsed="false">
      <c r="A17" s="124" t="s">
        <v>733</v>
      </c>
      <c r="B17" s="215" t="n">
        <v>0.654927</v>
      </c>
      <c r="C17" s="98" t="n">
        <v>5888</v>
      </c>
      <c r="D17" s="217" t="n">
        <f aca="false">(B17-B16)*100</f>
        <v>-0.199799999999994</v>
      </c>
      <c r="E17" s="17" t="s">
        <v>940</v>
      </c>
    </row>
    <row r="18" customFormat="false" ht="16.5" hidden="false" customHeight="true" outlineLevel="0" collapsed="false">
      <c r="A18" s="8" t="s">
        <v>3528</v>
      </c>
      <c r="B18" s="217" t="n">
        <f aca="false">(B17-B15)*100</f>
        <v>3.4204</v>
      </c>
      <c r="C18" s="109"/>
      <c r="D18" s="109"/>
      <c r="E18" s="17" t="s">
        <v>751</v>
      </c>
    </row>
    <row r="19" customFormat="false" ht="9.75" hidden="false" customHeight="true" outlineLevel="0" collapsed="false"/>
    <row r="20" customFormat="false" ht="42" hidden="false" customHeight="true" outlineLevel="0" collapsed="false">
      <c r="A20" s="21" t="s">
        <v>3529</v>
      </c>
    </row>
    <row r="21" customFormat="false" ht="30" hidden="false" customHeight="true" outlineLevel="0" collapsed="false">
      <c r="A21" s="16" t="s">
        <v>1970</v>
      </c>
      <c r="B21" s="16" t="s">
        <v>3525</v>
      </c>
      <c r="C21" s="16" t="s">
        <v>3526</v>
      </c>
      <c r="D21" s="16" t="s">
        <v>725</v>
      </c>
    </row>
    <row r="22" customFormat="false" ht="15" hidden="false" customHeight="true" outlineLevel="0" collapsed="false">
      <c r="A22" s="124" t="s">
        <v>3043</v>
      </c>
      <c r="B22" s="215" t="n">
        <v>0.783787</v>
      </c>
      <c r="C22" s="98" t="n">
        <v>14</v>
      </c>
      <c r="D22" s="17" t="s">
        <v>940</v>
      </c>
    </row>
    <row r="23" customFormat="false" ht="15" hidden="false" customHeight="true" outlineLevel="0" collapsed="false">
      <c r="A23" s="124" t="s">
        <v>2912</v>
      </c>
      <c r="B23" s="215" t="n">
        <v>0.771014</v>
      </c>
      <c r="C23" s="98" t="n">
        <v>96</v>
      </c>
      <c r="D23" s="17" t="s">
        <v>940</v>
      </c>
    </row>
    <row r="24" customFormat="false" ht="15" hidden="false" customHeight="true" outlineLevel="0" collapsed="false">
      <c r="A24" s="124" t="s">
        <v>1974</v>
      </c>
      <c r="B24" s="215" t="n">
        <v>0.765448</v>
      </c>
      <c r="C24" s="98" t="n">
        <v>12</v>
      </c>
      <c r="D24" s="17" t="s">
        <v>940</v>
      </c>
    </row>
    <row r="25" customFormat="false" ht="15" hidden="false" customHeight="true" outlineLevel="0" collapsed="false">
      <c r="A25" s="124" t="s">
        <v>2915</v>
      </c>
      <c r="B25" s="215" t="n">
        <v>0.754662</v>
      </c>
      <c r="C25" s="98" t="n">
        <v>181</v>
      </c>
      <c r="D25" s="17" t="s">
        <v>940</v>
      </c>
    </row>
    <row r="26" customFormat="false" ht="15" hidden="false" customHeight="true" outlineLevel="0" collapsed="false">
      <c r="A26" s="124" t="s">
        <v>3066</v>
      </c>
      <c r="B26" s="215" t="n">
        <v>0.753171</v>
      </c>
      <c r="C26" s="98" t="n">
        <v>102</v>
      </c>
      <c r="D26" s="17" t="s">
        <v>940</v>
      </c>
    </row>
    <row r="27" customFormat="false" ht="15" hidden="false" customHeight="true" outlineLevel="0" collapsed="false">
      <c r="A27" s="124" t="s">
        <v>3042</v>
      </c>
      <c r="B27" s="215" t="n">
        <v>0.736677</v>
      </c>
      <c r="C27" s="98" t="n">
        <v>36</v>
      </c>
      <c r="D27" s="17" t="s">
        <v>940</v>
      </c>
    </row>
    <row r="28" customFormat="false" ht="15" hidden="false" customHeight="true" outlineLevel="0" collapsed="false">
      <c r="A28" s="124" t="s">
        <v>3044</v>
      </c>
      <c r="B28" s="215" t="n">
        <v>0.722431</v>
      </c>
      <c r="C28" s="98" t="n">
        <v>159</v>
      </c>
      <c r="D28" s="17" t="s">
        <v>940</v>
      </c>
    </row>
    <row r="29" customFormat="false" ht="15" hidden="false" customHeight="true" outlineLevel="0" collapsed="false">
      <c r="A29" s="124" t="s">
        <v>1977</v>
      </c>
      <c r="B29" s="215" t="n">
        <v>0.718845</v>
      </c>
      <c r="C29" s="98" t="n">
        <v>56</v>
      </c>
      <c r="D29" s="17" t="s">
        <v>940</v>
      </c>
    </row>
    <row r="30" customFormat="false" ht="9.75" hidden="false" customHeight="true" outlineLevel="0" collapsed="false"/>
    <row r="31" customFormat="false" ht="30" hidden="false" customHeight="true" outlineLevel="0" collapsed="false">
      <c r="A31" s="19" t="s">
        <v>3530</v>
      </c>
      <c r="B31" s="19"/>
      <c r="C31" s="19"/>
      <c r="D31" s="19"/>
      <c r="E31" s="19"/>
      <c r="F31" s="19"/>
      <c r="G31" s="19"/>
    </row>
    <row r="32" customFormat="false" ht="9.75" hidden="false" customHeight="true" outlineLevel="0" collapsed="false"/>
    <row r="33" customFormat="false" ht="42" hidden="false" customHeight="true" outlineLevel="0" collapsed="false">
      <c r="A33" s="21" t="s">
        <v>3531</v>
      </c>
    </row>
    <row r="34" customFormat="false" ht="33.75" hidden="false" customHeight="true" outlineLevel="0" collapsed="false">
      <c r="A34" s="16" t="s">
        <v>3532</v>
      </c>
      <c r="B34" s="16" t="s">
        <v>3533</v>
      </c>
      <c r="C34" s="16" t="s">
        <v>3534</v>
      </c>
      <c r="D34" s="16" t="s">
        <v>725</v>
      </c>
    </row>
    <row r="35" customFormat="false" ht="30" hidden="false" customHeight="true" outlineLevel="0" collapsed="false">
      <c r="A35" s="9" t="s">
        <v>3535</v>
      </c>
      <c r="B35" s="98" t="n">
        <v>14699</v>
      </c>
      <c r="C35" s="99" t="n">
        <f aca="false">B35/B$40</f>
        <v>0.414278064316113</v>
      </c>
      <c r="D35" s="17" t="s">
        <v>940</v>
      </c>
    </row>
    <row r="36" customFormat="false" ht="16.5" hidden="false" customHeight="true" outlineLevel="0" collapsed="false">
      <c r="A36" s="9" t="s">
        <v>3536</v>
      </c>
      <c r="B36" s="98" t="n">
        <v>12392</v>
      </c>
      <c r="C36" s="99" t="n">
        <f aca="false">B36/B$40</f>
        <v>0.349257349003692</v>
      </c>
      <c r="D36" s="17" t="s">
        <v>940</v>
      </c>
    </row>
    <row r="37" customFormat="false" ht="15" hidden="false" customHeight="true" outlineLevel="0" collapsed="false">
      <c r="A37" s="97" t="s">
        <v>3537</v>
      </c>
      <c r="B37" s="98" t="n">
        <v>6852</v>
      </c>
      <c r="C37" s="99" t="n">
        <f aca="false">B37/B$40</f>
        <v>0.193117443138581</v>
      </c>
      <c r="D37" s="17" t="s">
        <v>940</v>
      </c>
    </row>
    <row r="38" customFormat="false" ht="30" hidden="false" customHeight="true" outlineLevel="0" collapsed="false">
      <c r="A38" s="9" t="s">
        <v>3538</v>
      </c>
      <c r="B38" s="98" t="n">
        <v>1221</v>
      </c>
      <c r="C38" s="99" t="n">
        <f aca="false">B38/B$40</f>
        <v>0.0344127843070939</v>
      </c>
      <c r="D38" s="17" t="s">
        <v>940</v>
      </c>
    </row>
    <row r="39" customFormat="false" ht="30" hidden="false" customHeight="true" outlineLevel="0" collapsed="false">
      <c r="A39" s="9" t="s">
        <v>3539</v>
      </c>
      <c r="B39" s="98" t="n">
        <v>317</v>
      </c>
      <c r="C39" s="99" t="n">
        <f aca="false">B39/B$40</f>
        <v>0.00893435923451988</v>
      </c>
      <c r="D39" s="17" t="s">
        <v>940</v>
      </c>
    </row>
    <row r="40" customFormat="false" ht="30" hidden="false" customHeight="true" outlineLevel="0" collapsed="false">
      <c r="A40" s="8" t="s">
        <v>3540</v>
      </c>
      <c r="B40" s="135" t="n">
        <f aca="false">SUM(B35:B39)</f>
        <v>35481</v>
      </c>
      <c r="C40" s="109"/>
      <c r="D40" s="17" t="s">
        <v>751</v>
      </c>
    </row>
    <row r="41" customFormat="false" ht="9.75" hidden="false" customHeight="true" outlineLevel="0" collapsed="false"/>
    <row r="42" customFormat="false" ht="42" hidden="false" customHeight="true" outlineLevel="0" collapsed="false">
      <c r="A42" s="21" t="s">
        <v>3541</v>
      </c>
    </row>
    <row r="43" customFormat="false" ht="33.75" hidden="false" customHeight="true" outlineLevel="0" collapsed="false">
      <c r="A43" s="16" t="s">
        <v>3542</v>
      </c>
      <c r="B43" s="16" t="s">
        <v>811</v>
      </c>
      <c r="C43" s="16" t="s">
        <v>1917</v>
      </c>
      <c r="D43" s="16" t="s">
        <v>3543</v>
      </c>
      <c r="E43" s="16" t="s">
        <v>3544</v>
      </c>
      <c r="F43" s="16" t="s">
        <v>3545</v>
      </c>
      <c r="G43" s="16" t="s">
        <v>727</v>
      </c>
    </row>
    <row r="44" customFormat="false" ht="30" hidden="false" customHeight="true" outlineLevel="0" collapsed="false">
      <c r="A44" s="124" t="s">
        <v>1153</v>
      </c>
      <c r="B44" s="98" t="n">
        <v>36353946</v>
      </c>
      <c r="C44" s="98" t="n">
        <v>34251159</v>
      </c>
      <c r="D44" s="105" t="n">
        <f aca="false">B44-C44</f>
        <v>2102787</v>
      </c>
      <c r="E44" s="154"/>
      <c r="F44" s="99" t="n">
        <f aca="false">C44/B44</f>
        <v>0.942157943459563</v>
      </c>
      <c r="G44" s="17" t="s">
        <v>3546</v>
      </c>
    </row>
    <row r="45" customFormat="false" ht="15" hidden="false" customHeight="true" outlineLevel="0" collapsed="false">
      <c r="A45" s="124" t="s">
        <v>844</v>
      </c>
      <c r="B45" s="98" t="n">
        <v>36241815</v>
      </c>
      <c r="C45" s="98" t="n">
        <v>34078100</v>
      </c>
      <c r="D45" s="105" t="n">
        <f aca="false">B45-C45</f>
        <v>2163715</v>
      </c>
      <c r="E45" s="99" t="n">
        <f aca="false">B45/B44-1</f>
        <v>-0.00308442445285029</v>
      </c>
      <c r="F45" s="99" t="n">
        <f aca="false">C45/B45</f>
        <v>0.940297830006582</v>
      </c>
      <c r="G45" s="17" t="s">
        <v>1460</v>
      </c>
    </row>
    <row r="46" customFormat="false" ht="15" hidden="false" customHeight="true" outlineLevel="0" collapsed="false">
      <c r="A46" s="124" t="s">
        <v>1862</v>
      </c>
      <c r="B46" s="98" t="n">
        <v>33356853</v>
      </c>
      <c r="C46" s="98" t="n">
        <v>31393318</v>
      </c>
      <c r="D46" s="105" t="n">
        <f aca="false">B46-C46</f>
        <v>1963535</v>
      </c>
      <c r="E46" s="99" t="n">
        <f aca="false">B46/B45-1</f>
        <v>-0.0796031324590117</v>
      </c>
      <c r="F46" s="99" t="n">
        <f aca="false">C46/B46</f>
        <v>0.941135484213694</v>
      </c>
      <c r="G46" s="17" t="s">
        <v>1466</v>
      </c>
    </row>
    <row r="47" customFormat="false" ht="15" hidden="false" customHeight="true" outlineLevel="0" collapsed="false">
      <c r="A47" s="124" t="s">
        <v>1163</v>
      </c>
      <c r="B47" s="98" t="n">
        <v>34011386</v>
      </c>
      <c r="C47" s="98" t="n">
        <v>31967073</v>
      </c>
      <c r="D47" s="105" t="n">
        <f aca="false">B47-C47</f>
        <v>2044313</v>
      </c>
      <c r="E47" s="99" t="n">
        <f aca="false">B47/B46-1</f>
        <v>0.0196221448108429</v>
      </c>
      <c r="F47" s="99" t="n">
        <f aca="false">C47/B47</f>
        <v>0.939893275740071</v>
      </c>
      <c r="G47" s="17" t="s">
        <v>1471</v>
      </c>
    </row>
    <row r="48" customFormat="false" ht="15" hidden="false" customHeight="true" outlineLevel="0" collapsed="false">
      <c r="A48" s="124" t="s">
        <v>733</v>
      </c>
      <c r="B48" s="98" t="n">
        <v>33679935</v>
      </c>
      <c r="C48" s="98" t="n">
        <v>31555807</v>
      </c>
      <c r="D48" s="105" t="n">
        <f aca="false">B48-C48</f>
        <v>2124128</v>
      </c>
      <c r="E48" s="99" t="n">
        <f aca="false">B48/B47-1</f>
        <v>-0.00974529529611057</v>
      </c>
      <c r="F48" s="99" t="n">
        <f aca="false">C48/B48</f>
        <v>0.936931944791461</v>
      </c>
      <c r="G48" s="17" t="s">
        <v>802</v>
      </c>
    </row>
    <row r="49" customFormat="false" ht="15" hidden="false" customHeight="true" outlineLevel="0" collapsed="false">
      <c r="A49" s="124" t="s">
        <v>741</v>
      </c>
      <c r="B49" s="98" t="n">
        <v>34426650</v>
      </c>
      <c r="C49" s="98" t="n">
        <v>32345846</v>
      </c>
      <c r="D49" s="105" t="n">
        <f aca="false">B49-C49</f>
        <v>2080804</v>
      </c>
      <c r="E49" s="99" t="n">
        <f aca="false">B49/B48-1</f>
        <v>0.0221709157099026</v>
      </c>
      <c r="F49" s="99" t="n">
        <f aca="false">C49/B49</f>
        <v>0.939558336346987</v>
      </c>
      <c r="G49" s="17" t="s">
        <v>1480</v>
      </c>
    </row>
    <row r="50" customFormat="false" ht="15" hidden="false" customHeight="true" outlineLevel="0" collapsed="false">
      <c r="A50" s="124" t="s">
        <v>806</v>
      </c>
      <c r="B50" s="98" t="n">
        <v>35658583</v>
      </c>
      <c r="C50" s="98" t="n">
        <v>33553725</v>
      </c>
      <c r="D50" s="105" t="n">
        <f aca="false">B50-C50</f>
        <v>2104858</v>
      </c>
      <c r="E50" s="99" t="n">
        <f aca="false">B50/B49-1</f>
        <v>0.035784283396729</v>
      </c>
      <c r="F50" s="99" t="n">
        <f aca="false">C50/B50</f>
        <v>0.940971911306739</v>
      </c>
      <c r="G50" s="17" t="s">
        <v>807</v>
      </c>
    </row>
    <row r="51" customFormat="false" ht="16.5" hidden="false" customHeight="true" outlineLevel="0" collapsed="false">
      <c r="A51" s="8" t="s">
        <v>3547</v>
      </c>
      <c r="B51" s="99" t="n">
        <f aca="false">B50/B44-1</f>
        <v>-0.0191275797130799</v>
      </c>
    </row>
    <row r="52" customFormat="false" ht="16.5" hidden="false" customHeight="true" outlineLevel="0" collapsed="false">
      <c r="A52" s="8" t="s">
        <v>3548</v>
      </c>
      <c r="B52" s="129" t="n">
        <f aca="false">(B50/B44)^(1/6)-1</f>
        <v>-0.00321363826656418</v>
      </c>
    </row>
    <row r="53" customFormat="false" ht="30" hidden="false" customHeight="true" outlineLevel="0" collapsed="false">
      <c r="A53" s="8" t="s">
        <v>3549</v>
      </c>
      <c r="B53" s="109"/>
      <c r="C53" s="99" t="n">
        <f aca="false">C50/C44-1</f>
        <v>-0.0203623474464032</v>
      </c>
    </row>
    <row r="54" customFormat="false" ht="16.5" hidden="false" customHeight="true" outlineLevel="0" collapsed="false">
      <c r="A54" s="8" t="s">
        <v>3550</v>
      </c>
      <c r="B54" s="109"/>
      <c r="C54" s="129" t="n">
        <f aca="false">(C50/C44)^(1/6)-1</f>
        <v>-0.00342288153584047</v>
      </c>
    </row>
    <row r="55" customFormat="false" ht="9.75" hidden="false" customHeight="true" outlineLevel="0" collapsed="false"/>
    <row r="56" customFormat="false" ht="42" hidden="false" customHeight="true" outlineLevel="0" collapsed="false">
      <c r="A56" s="19" t="s">
        <v>3551</v>
      </c>
      <c r="B56" s="19"/>
      <c r="C56" s="19"/>
      <c r="D56" s="19"/>
      <c r="E56" s="19"/>
      <c r="F56" s="19"/>
      <c r="G56" s="19"/>
    </row>
    <row r="57" customFormat="false" ht="30" hidden="false" customHeight="true" outlineLevel="0" collapsed="false">
      <c r="A57" s="19" t="s">
        <v>3552</v>
      </c>
      <c r="B57" s="19"/>
      <c r="C57" s="19"/>
      <c r="D57" s="19"/>
      <c r="E57" s="19"/>
      <c r="F57" s="19"/>
      <c r="G57" s="19"/>
    </row>
    <row r="58" customFormat="false" ht="9.75" hidden="false" customHeight="true" outlineLevel="0" collapsed="false"/>
    <row r="59" customFormat="false" ht="16.5" hidden="false" customHeight="true" outlineLevel="0" collapsed="false">
      <c r="A59" s="15" t="s">
        <v>3553</v>
      </c>
      <c r="B59" s="15"/>
      <c r="C59" s="15"/>
      <c r="D59" s="15"/>
      <c r="E59" s="15"/>
      <c r="F59" s="15"/>
      <c r="G59" s="15"/>
    </row>
    <row r="60" customFormat="false" ht="24" hidden="false" customHeight="true" outlineLevel="0" collapsed="false">
      <c r="A60" s="16" t="s">
        <v>1902</v>
      </c>
      <c r="B60" s="16" t="s">
        <v>3554</v>
      </c>
      <c r="C60" s="16" t="s">
        <v>1953</v>
      </c>
      <c r="D60" s="16" t="s">
        <v>725</v>
      </c>
      <c r="E60" s="16" t="s">
        <v>2085</v>
      </c>
    </row>
    <row r="61" customFormat="false" ht="42" hidden="false" customHeight="true" outlineLevel="0" collapsed="false">
      <c r="A61" s="18" t="s">
        <v>3555</v>
      </c>
      <c r="B61" s="100" t="n">
        <v>2673</v>
      </c>
      <c r="C61" s="100" t="n">
        <v>1340</v>
      </c>
      <c r="D61" s="17" t="s">
        <v>735</v>
      </c>
      <c r="E61" s="18" t="s">
        <v>3556</v>
      </c>
    </row>
    <row r="62" customFormat="false" ht="30" hidden="false" customHeight="true" outlineLevel="0" collapsed="false">
      <c r="A62" s="18" t="s">
        <v>3557</v>
      </c>
      <c r="B62" s="100" t="n">
        <v>1845</v>
      </c>
      <c r="C62" s="100" t="n">
        <v>959</v>
      </c>
      <c r="D62" s="17" t="s">
        <v>735</v>
      </c>
      <c r="E62" s="18" t="s">
        <v>3558</v>
      </c>
    </row>
    <row r="63" customFormat="false" ht="30" hidden="false" customHeight="true" outlineLevel="0" collapsed="false">
      <c r="A63" s="18" t="s">
        <v>3559</v>
      </c>
      <c r="B63" s="100" t="n">
        <v>1624</v>
      </c>
      <c r="C63" s="100" t="n">
        <v>811</v>
      </c>
      <c r="D63" s="17" t="s">
        <v>735</v>
      </c>
      <c r="E63" s="18" t="s">
        <v>3560</v>
      </c>
    </row>
    <row r="64" customFormat="false" ht="30" hidden="false" customHeight="true" outlineLevel="0" collapsed="false">
      <c r="A64" s="18" t="s">
        <v>3561</v>
      </c>
      <c r="B64" s="100" t="n">
        <v>3652</v>
      </c>
      <c r="C64" s="100" t="n">
        <v>1980</v>
      </c>
      <c r="D64" s="17" t="s">
        <v>735</v>
      </c>
      <c r="E64" s="18" t="s">
        <v>3562</v>
      </c>
    </row>
    <row r="65" customFormat="false" ht="30" hidden="false" customHeight="true" outlineLevel="0" collapsed="false">
      <c r="A65" s="18" t="s">
        <v>3563</v>
      </c>
      <c r="B65" s="100" t="n">
        <v>946</v>
      </c>
      <c r="C65" s="100" t="n">
        <v>608</v>
      </c>
      <c r="D65" s="17" t="s">
        <v>735</v>
      </c>
      <c r="E65" s="18" t="s">
        <v>3564</v>
      </c>
    </row>
    <row r="66" customFormat="false" ht="30" hidden="false" customHeight="true" outlineLevel="0" collapsed="false">
      <c r="A66" s="18" t="s">
        <v>3565</v>
      </c>
      <c r="B66" s="100" t="n">
        <v>2777</v>
      </c>
      <c r="C66" s="100" t="n">
        <v>1409</v>
      </c>
      <c r="D66" s="17" t="s">
        <v>735</v>
      </c>
      <c r="E66" s="18" t="s">
        <v>3566</v>
      </c>
    </row>
    <row r="67" customFormat="false" ht="30" hidden="false" customHeight="true" outlineLevel="0" collapsed="false">
      <c r="A67" s="18" t="s">
        <v>3567</v>
      </c>
      <c r="B67" s="100" t="n">
        <v>1299</v>
      </c>
      <c r="C67" s="100" t="n">
        <v>798</v>
      </c>
      <c r="D67" s="17" t="s">
        <v>735</v>
      </c>
      <c r="E67" s="18" t="s">
        <v>3568</v>
      </c>
    </row>
    <row r="68" customFormat="false" ht="30" hidden="false" customHeight="true" outlineLevel="0" collapsed="false">
      <c r="A68" s="18" t="s">
        <v>3569</v>
      </c>
      <c r="B68" s="100" t="n">
        <v>2438</v>
      </c>
      <c r="C68" s="100" t="n">
        <v>1141</v>
      </c>
      <c r="D68" s="17" t="s">
        <v>735</v>
      </c>
      <c r="E68" s="18" t="s">
        <v>3566</v>
      </c>
    </row>
    <row r="69" customFormat="false" ht="30" hidden="false" customHeight="true" outlineLevel="0" collapsed="false">
      <c r="A69" s="18" t="s">
        <v>3570</v>
      </c>
      <c r="B69" s="100" t="n">
        <v>1788</v>
      </c>
      <c r="C69" s="100" t="n">
        <v>610</v>
      </c>
      <c r="D69" s="17" t="s">
        <v>735</v>
      </c>
      <c r="E69" s="18" t="s">
        <v>3571</v>
      </c>
    </row>
    <row r="70" customFormat="false" ht="30" hidden="false" customHeight="true" outlineLevel="0" collapsed="false">
      <c r="A70" s="18" t="s">
        <v>3572</v>
      </c>
      <c r="B70" s="100" t="n">
        <v>3127</v>
      </c>
      <c r="C70" s="100" t="n">
        <v>1859</v>
      </c>
      <c r="D70" s="17" t="s">
        <v>735</v>
      </c>
      <c r="E70" s="18" t="s">
        <v>3566</v>
      </c>
    </row>
    <row r="71" customFormat="false" ht="16.5" hidden="false" customHeight="true" outlineLevel="0" collapsed="false">
      <c r="A71" s="18" t="s">
        <v>3573</v>
      </c>
      <c r="B71" s="100" t="n">
        <v>2401</v>
      </c>
      <c r="C71" s="100" t="n">
        <v>1227</v>
      </c>
      <c r="D71" s="17" t="s">
        <v>735</v>
      </c>
      <c r="E71" s="18" t="s">
        <v>3566</v>
      </c>
    </row>
    <row r="72" customFormat="false" ht="30" hidden="false" customHeight="true" outlineLevel="0" collapsed="false">
      <c r="A72" s="18" t="s">
        <v>3574</v>
      </c>
      <c r="B72" s="100" t="n">
        <v>3505</v>
      </c>
      <c r="C72" s="100" t="n">
        <v>1829</v>
      </c>
      <c r="D72" s="17" t="s">
        <v>735</v>
      </c>
      <c r="E72" s="18" t="s">
        <v>3566</v>
      </c>
    </row>
    <row r="73" customFormat="false" ht="42" hidden="false" customHeight="true" outlineLevel="0" collapsed="false">
      <c r="A73" s="8" t="s">
        <v>3575</v>
      </c>
      <c r="B73" s="218" t="n">
        <f aca="false">B61/C61</f>
        <v>1.99477611940299</v>
      </c>
      <c r="C73" s="109"/>
      <c r="D73" s="17" t="s">
        <v>751</v>
      </c>
      <c r="E73" s="18" t="s">
        <v>3576</v>
      </c>
    </row>
    <row r="74" customFormat="false" ht="30" hidden="false" customHeight="true" outlineLevel="0" collapsed="false">
      <c r="A74" s="18" t="s">
        <v>3577</v>
      </c>
      <c r="B74" s="218" t="n">
        <f aca="false">B70/B69</f>
        <v>1.74888143176734</v>
      </c>
      <c r="C74" s="109"/>
      <c r="D74" s="17" t="s">
        <v>751</v>
      </c>
      <c r="E74" s="18" t="s">
        <v>3578</v>
      </c>
    </row>
    <row r="75" customFormat="false" ht="9.75" hidden="false" customHeight="true" outlineLevel="0" collapsed="false"/>
    <row r="76" customFormat="false" ht="19.5" hidden="false" customHeight="true" outlineLevel="0" collapsed="false">
      <c r="A76" s="15" t="s">
        <v>3579</v>
      </c>
      <c r="B76" s="15"/>
      <c r="C76" s="15"/>
      <c r="D76" s="15"/>
      <c r="E76" s="15"/>
      <c r="F76" s="15"/>
      <c r="G76" s="15"/>
    </row>
    <row r="77" customFormat="false" ht="24" hidden="false" customHeight="true" outlineLevel="0" collapsed="false">
      <c r="A77" s="16" t="s">
        <v>3580</v>
      </c>
      <c r="B77" s="16" t="s">
        <v>3581</v>
      </c>
      <c r="C77" s="16" t="s">
        <v>3582</v>
      </c>
      <c r="D77" s="16" t="s">
        <v>725</v>
      </c>
      <c r="E77" s="16" t="s">
        <v>2085</v>
      </c>
    </row>
    <row r="78" customFormat="false" ht="30" hidden="false" customHeight="true" outlineLevel="0" collapsed="false">
      <c r="A78" s="97" t="s">
        <v>3583</v>
      </c>
      <c r="B78" s="101" t="n">
        <v>0.694</v>
      </c>
      <c r="C78" s="98" t="n">
        <v>18869</v>
      </c>
      <c r="D78" s="17" t="s">
        <v>735</v>
      </c>
      <c r="E78" s="18" t="s">
        <v>3584</v>
      </c>
    </row>
    <row r="79" customFormat="false" ht="15" hidden="false" customHeight="true" outlineLevel="0" collapsed="false">
      <c r="A79" s="97" t="s">
        <v>3585</v>
      </c>
      <c r="B79" s="101" t="n">
        <v>0.1</v>
      </c>
      <c r="C79" s="98" t="n">
        <v>2727</v>
      </c>
      <c r="D79" s="17" t="s">
        <v>735</v>
      </c>
      <c r="E79" s="106"/>
    </row>
    <row r="80" customFormat="false" ht="16.5" hidden="false" customHeight="true" outlineLevel="0" collapsed="false">
      <c r="A80" s="97" t="s">
        <v>3586</v>
      </c>
      <c r="B80" s="101" t="n">
        <v>0.044</v>
      </c>
      <c r="C80" s="109"/>
      <c r="D80" s="17" t="s">
        <v>735</v>
      </c>
      <c r="E80" s="18" t="s">
        <v>3587</v>
      </c>
    </row>
    <row r="81" customFormat="false" ht="15" hidden="false" customHeight="true" outlineLevel="0" collapsed="false">
      <c r="A81" s="97" t="s">
        <v>3588</v>
      </c>
      <c r="B81" s="101" t="n">
        <v>0.035</v>
      </c>
      <c r="C81" s="98" t="n">
        <v>960</v>
      </c>
      <c r="D81" s="17" t="s">
        <v>735</v>
      </c>
      <c r="E81" s="106"/>
    </row>
    <row r="82" customFormat="false" ht="30" hidden="false" customHeight="true" outlineLevel="0" collapsed="false">
      <c r="A82" s="97" t="s">
        <v>3589</v>
      </c>
      <c r="B82" s="101" t="n">
        <v>0.126</v>
      </c>
      <c r="C82" s="109"/>
      <c r="D82" s="17" t="s">
        <v>735</v>
      </c>
      <c r="E82" s="18" t="s">
        <v>3590</v>
      </c>
    </row>
    <row r="83" customFormat="false" ht="16.5" hidden="false" customHeight="true" outlineLevel="0" collapsed="false">
      <c r="A83" s="20" t="s">
        <v>2657</v>
      </c>
      <c r="B83" s="144" t="n">
        <f aca="false">SUM(B78:B82)</f>
        <v>0.999</v>
      </c>
      <c r="C83" s="109"/>
      <c r="D83" s="109"/>
      <c r="E83" s="18" t="s">
        <v>3591</v>
      </c>
    </row>
    <row r="84" customFormat="false" ht="9.75" hidden="false" customHeight="true" outlineLevel="0" collapsed="false"/>
    <row r="85" customFormat="false" ht="30" hidden="false" customHeight="true" outlineLevel="0" collapsed="false">
      <c r="A85" s="19" t="s">
        <v>3592</v>
      </c>
      <c r="B85" s="19"/>
      <c r="C85" s="19"/>
      <c r="D85" s="19"/>
      <c r="E85" s="19"/>
      <c r="F85" s="19"/>
      <c r="G85" s="19"/>
    </row>
  </sheetData>
  <mergeCells count="9">
    <mergeCell ref="A1:G1"/>
    <mergeCell ref="A2:G2"/>
    <mergeCell ref="A4:G4"/>
    <mergeCell ref="A31:G31"/>
    <mergeCell ref="A56:G56"/>
    <mergeCell ref="A57:G57"/>
    <mergeCell ref="A59:G59"/>
    <mergeCell ref="A76:G76"/>
    <mergeCell ref="A85:G85"/>
  </mergeCells>
  <printOptions headings="false" gridLines="false" gridLinesSet="true" horizontalCentered="false" verticalCentered="false"/>
  <pageMargins left="0.75" right="0.75" top="1" bottom="1" header="0.511811023622047" footer="0.511805555555556"/>
  <pageSetup paperSize="5" scale="100" fitToWidth="1" fitToHeight="0" pageOrder="downThenOver" orientation="landscape" blackAndWhite="false" draft="false" cellComments="none" horizontalDpi="300" verticalDpi="300" copies="1"/>
  <headerFooter differentFirst="false" differentOddEven="false">
    <oddHeader/>
    <oddFooter>&amp;L&amp;8 IFT Sourced Evidence Master  |  verified 09 July 2026&amp;R&amp;8 &amp;A  |  page &amp;P of &amp;N</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F8B"/>
    <pageSetUpPr fitToPage="true"/>
  </sheetPr>
  <dimension ref="A1:F6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26"/>
    <col collapsed="false" customWidth="true" hidden="false" outlineLevel="0" max="3" min="3" style="1" width="22"/>
    <col collapsed="false" customWidth="true" hidden="false" outlineLevel="0" max="4" min="4" style="1" width="62"/>
    <col collapsed="false" customWidth="true" hidden="false" outlineLevel="0" max="5" min="5" style="1" width="20"/>
    <col collapsed="false" customWidth="true" hidden="false" outlineLevel="0" max="6" min="6" style="1" width="62"/>
  </cols>
  <sheetData>
    <row r="1" customFormat="false" ht="24" hidden="false" customHeight="true" outlineLevel="0" collapsed="false">
      <c r="A1" s="14" t="s">
        <v>3593</v>
      </c>
      <c r="B1" s="14"/>
      <c r="C1" s="14"/>
      <c r="D1" s="14"/>
      <c r="E1" s="14"/>
      <c r="F1" s="14"/>
    </row>
    <row r="2" customFormat="false" ht="16.5" hidden="false" customHeight="true" outlineLevel="0" collapsed="false">
      <c r="A2" s="3" t="s">
        <v>3594</v>
      </c>
      <c r="B2" s="3"/>
      <c r="C2" s="3"/>
      <c r="D2" s="3"/>
      <c r="E2" s="3"/>
      <c r="F2" s="3"/>
    </row>
    <row r="3" customFormat="false" ht="13.5" hidden="false" customHeight="true" outlineLevel="0" collapsed="false"/>
    <row r="4" customFormat="false" ht="19.5" hidden="false" customHeight="true" outlineLevel="0" collapsed="false">
      <c r="A4" s="15" t="s">
        <v>3595</v>
      </c>
      <c r="B4" s="15"/>
      <c r="C4" s="15"/>
      <c r="D4" s="15"/>
      <c r="E4" s="15"/>
      <c r="F4" s="15"/>
    </row>
    <row r="5" customFormat="false" ht="24" hidden="false" customHeight="true" outlineLevel="0" collapsed="false">
      <c r="A5" s="16" t="s">
        <v>1902</v>
      </c>
      <c r="B5" s="16" t="s">
        <v>581</v>
      </c>
      <c r="C5" s="16" t="s">
        <v>725</v>
      </c>
      <c r="D5" s="16" t="s">
        <v>2085</v>
      </c>
    </row>
    <row r="6" customFormat="false" ht="30" hidden="false" customHeight="true" outlineLevel="0" collapsed="false">
      <c r="A6" s="18" t="s">
        <v>3596</v>
      </c>
      <c r="B6" s="124" t="s">
        <v>3597</v>
      </c>
      <c r="C6" s="17" t="s">
        <v>735</v>
      </c>
      <c r="D6" s="18" t="s">
        <v>3598</v>
      </c>
    </row>
    <row r="7" customFormat="false" ht="42" hidden="false" customHeight="true" outlineLevel="0" collapsed="false">
      <c r="A7" s="34" t="s">
        <v>3599</v>
      </c>
      <c r="B7" s="219" t="n">
        <v>11300000</v>
      </c>
      <c r="C7" s="122" t="s">
        <v>735</v>
      </c>
      <c r="D7" s="34" t="s">
        <v>3600</v>
      </c>
    </row>
    <row r="8" customFormat="false" ht="54.75" hidden="false" customHeight="true" outlineLevel="0" collapsed="false">
      <c r="A8" s="18" t="s">
        <v>3601</v>
      </c>
      <c r="B8" s="100" t="n">
        <v>5300000000</v>
      </c>
      <c r="C8" s="17" t="s">
        <v>735</v>
      </c>
      <c r="D8" s="18" t="s">
        <v>3602</v>
      </c>
    </row>
    <row r="9" customFormat="false" ht="30" hidden="false" customHeight="true" outlineLevel="0" collapsed="false">
      <c r="A9" s="34" t="s">
        <v>3603</v>
      </c>
      <c r="B9" s="220" t="n">
        <v>0.71</v>
      </c>
      <c r="C9" s="122" t="s">
        <v>735</v>
      </c>
      <c r="D9" s="34" t="s">
        <v>3604</v>
      </c>
    </row>
    <row r="10" customFormat="false" ht="16.5" hidden="false" customHeight="true" outlineLevel="0" collapsed="false">
      <c r="A10" s="18" t="s">
        <v>3605</v>
      </c>
      <c r="B10" s="98" t="n">
        <v>7450</v>
      </c>
      <c r="C10" s="17" t="s">
        <v>735</v>
      </c>
      <c r="D10" s="18" t="s">
        <v>3606</v>
      </c>
    </row>
    <row r="11" customFormat="false" ht="30" hidden="false" customHeight="true" outlineLevel="0" collapsed="false">
      <c r="A11" s="34" t="s">
        <v>3607</v>
      </c>
      <c r="B11" s="219" t="n">
        <v>6688</v>
      </c>
      <c r="C11" s="122" t="s">
        <v>735</v>
      </c>
      <c r="D11" s="34" t="s">
        <v>3608</v>
      </c>
    </row>
    <row r="12" customFormat="false" ht="42" hidden="false" customHeight="true" outlineLevel="0" collapsed="false">
      <c r="A12" s="18" t="s">
        <v>3609</v>
      </c>
      <c r="B12" s="101" t="n">
        <v>0.072</v>
      </c>
      <c r="C12" s="17" t="s">
        <v>735</v>
      </c>
      <c r="D12" s="18" t="s">
        <v>3610</v>
      </c>
    </row>
    <row r="13" customFormat="false" ht="9.75" hidden="false" customHeight="true" outlineLevel="0" collapsed="false"/>
    <row r="14" customFormat="false" ht="19.5" hidden="false" customHeight="true" outlineLevel="0" collapsed="false">
      <c r="A14" s="15" t="s">
        <v>3611</v>
      </c>
      <c r="B14" s="15"/>
      <c r="C14" s="15"/>
      <c r="D14" s="15"/>
      <c r="E14" s="15"/>
      <c r="F14" s="15"/>
    </row>
    <row r="15" customFormat="false" ht="30" hidden="false" customHeight="true" outlineLevel="0" collapsed="false">
      <c r="A15" s="16" t="s">
        <v>3612</v>
      </c>
      <c r="B15" s="16" t="s">
        <v>3613</v>
      </c>
      <c r="C15" s="16" t="s">
        <v>3614</v>
      </c>
      <c r="D15" s="16" t="s">
        <v>470</v>
      </c>
      <c r="E15" s="16" t="s">
        <v>3615</v>
      </c>
      <c r="F15" s="16" t="s">
        <v>1947</v>
      </c>
    </row>
    <row r="16" customFormat="false" ht="15" hidden="false" customHeight="true" outlineLevel="0" collapsed="false">
      <c r="A16" s="17" t="s">
        <v>3616</v>
      </c>
      <c r="B16" s="98" t="n">
        <v>5539</v>
      </c>
      <c r="C16" s="98" t="n">
        <v>7402</v>
      </c>
      <c r="D16" s="100" t="n">
        <v>1018</v>
      </c>
      <c r="E16" s="103" t="n">
        <v>1.58</v>
      </c>
      <c r="F16" s="119"/>
    </row>
    <row r="17" customFormat="false" ht="30" hidden="false" customHeight="true" outlineLevel="0" collapsed="false">
      <c r="A17" s="122" t="s">
        <v>3617</v>
      </c>
      <c r="B17" s="219" t="n">
        <v>2876</v>
      </c>
      <c r="C17" s="219" t="n">
        <v>2448</v>
      </c>
      <c r="D17" s="146" t="n">
        <v>997</v>
      </c>
      <c r="E17" s="221" t="n">
        <v>1.61</v>
      </c>
      <c r="F17" s="34" t="s">
        <v>3618</v>
      </c>
    </row>
    <row r="18" customFormat="false" ht="30" hidden="false" customHeight="true" outlineLevel="0" collapsed="false">
      <c r="A18" s="18" t="s">
        <v>3619</v>
      </c>
      <c r="B18" s="98" t="n">
        <v>1943</v>
      </c>
      <c r="C18" s="98" t="n">
        <v>959</v>
      </c>
      <c r="D18" s="100" t="n">
        <v>1263</v>
      </c>
      <c r="E18" s="103" t="n">
        <v>1.64</v>
      </c>
      <c r="F18" s="18" t="s">
        <v>3620</v>
      </c>
    </row>
    <row r="19" customFormat="false" ht="16.5" hidden="false" customHeight="true" outlineLevel="0" collapsed="false">
      <c r="A19" s="122" t="s">
        <v>3621</v>
      </c>
      <c r="B19" s="219" t="n">
        <v>1937</v>
      </c>
      <c r="C19" s="219" t="n">
        <v>10838</v>
      </c>
      <c r="D19" s="146" t="n">
        <v>563</v>
      </c>
      <c r="E19" s="221" t="n">
        <v>1.44</v>
      </c>
      <c r="F19" s="34" t="s">
        <v>3622</v>
      </c>
    </row>
    <row r="20" customFormat="false" ht="15" hidden="false" customHeight="true" outlineLevel="0" collapsed="false">
      <c r="A20" s="17" t="s">
        <v>3623</v>
      </c>
      <c r="B20" s="98" t="n">
        <v>2769</v>
      </c>
      <c r="C20" s="98" t="n">
        <v>3500</v>
      </c>
      <c r="D20" s="100" t="n">
        <v>830</v>
      </c>
      <c r="E20" s="103" t="n">
        <v>1.62</v>
      </c>
      <c r="F20" s="119"/>
    </row>
    <row r="21" customFormat="false" ht="16.5" hidden="false" customHeight="true" outlineLevel="0" collapsed="false">
      <c r="A21" s="122" t="s">
        <v>3624</v>
      </c>
      <c r="B21" s="219" t="n">
        <v>5652</v>
      </c>
      <c r="C21" s="219" t="n">
        <v>3400</v>
      </c>
      <c r="D21" s="146" t="n">
        <v>1626</v>
      </c>
      <c r="E21" s="221" t="n">
        <v>1.74</v>
      </c>
      <c r="F21" s="34" t="s">
        <v>3625</v>
      </c>
    </row>
    <row r="22" customFormat="false" ht="16.5" hidden="false" customHeight="true" outlineLevel="0" collapsed="false">
      <c r="A22" s="17" t="s">
        <v>3626</v>
      </c>
      <c r="B22" s="98" t="n">
        <v>5764</v>
      </c>
      <c r="C22" s="98" t="n">
        <v>2902</v>
      </c>
      <c r="D22" s="100" t="n">
        <v>1524</v>
      </c>
      <c r="E22" s="103" t="n">
        <v>1.72</v>
      </c>
      <c r="F22" s="18" t="s">
        <v>3627</v>
      </c>
    </row>
    <row r="23" customFormat="false" ht="30" hidden="false" customHeight="true" outlineLevel="0" collapsed="false">
      <c r="A23" s="122" t="s">
        <v>3628</v>
      </c>
      <c r="B23" s="219" t="n">
        <v>2516</v>
      </c>
      <c r="C23" s="219" t="n">
        <v>6847</v>
      </c>
      <c r="D23" s="146" t="n">
        <v>636</v>
      </c>
      <c r="E23" s="221" t="n">
        <v>1.53</v>
      </c>
      <c r="F23" s="34" t="s">
        <v>3629</v>
      </c>
    </row>
    <row r="24" customFormat="false" ht="16.5" hidden="false" customHeight="true" outlineLevel="0" collapsed="false">
      <c r="A24" s="17" t="s">
        <v>3630</v>
      </c>
      <c r="B24" s="98" t="n">
        <v>2078</v>
      </c>
      <c r="C24" s="98" t="n">
        <v>7674</v>
      </c>
      <c r="D24" s="100" t="n">
        <v>918</v>
      </c>
      <c r="E24" s="103" t="n">
        <v>1.52</v>
      </c>
      <c r="F24" s="119"/>
    </row>
    <row r="25" customFormat="false" ht="30" hidden="false" customHeight="true" outlineLevel="0" collapsed="false">
      <c r="A25" s="34" t="s">
        <v>3631</v>
      </c>
      <c r="B25" s="219" t="n">
        <v>2590</v>
      </c>
      <c r="C25" s="219" t="n">
        <v>148</v>
      </c>
      <c r="D25" s="146" t="n">
        <v>2878</v>
      </c>
      <c r="E25" s="221" t="n">
        <v>1.65</v>
      </c>
      <c r="F25" s="34" t="s">
        <v>3632</v>
      </c>
    </row>
    <row r="26" customFormat="false" ht="15" hidden="false" customHeight="true" outlineLevel="0" collapsed="false">
      <c r="A26" s="17" t="s">
        <v>3633</v>
      </c>
      <c r="B26" s="98" t="n">
        <v>2589</v>
      </c>
      <c r="C26" s="98" t="n">
        <v>714</v>
      </c>
      <c r="D26" s="100" t="n">
        <v>1934</v>
      </c>
      <c r="E26" s="103" t="n">
        <v>1.7</v>
      </c>
      <c r="F26" s="119"/>
    </row>
    <row r="27" customFormat="false" ht="15" hidden="false" customHeight="true" outlineLevel="0" collapsed="false">
      <c r="A27" s="122" t="s">
        <v>3634</v>
      </c>
      <c r="B27" s="219" t="n">
        <v>2590</v>
      </c>
      <c r="C27" s="219" t="n">
        <v>2121</v>
      </c>
      <c r="D27" s="146" t="n">
        <v>1406</v>
      </c>
      <c r="E27" s="221" t="n">
        <v>1.67</v>
      </c>
      <c r="F27" s="222"/>
    </row>
    <row r="28" customFormat="false" ht="30" hidden="false" customHeight="true" outlineLevel="0" collapsed="false">
      <c r="A28" s="17" t="s">
        <v>3635</v>
      </c>
      <c r="B28" s="98" t="n">
        <v>2589</v>
      </c>
      <c r="C28" s="98" t="n">
        <v>15291</v>
      </c>
      <c r="D28" s="100" t="n">
        <v>918</v>
      </c>
      <c r="E28" s="103" t="n">
        <v>1.57</v>
      </c>
      <c r="F28" s="18" t="s">
        <v>3636</v>
      </c>
    </row>
    <row r="29" customFormat="false" ht="30" hidden="false" customHeight="true" outlineLevel="0" collapsed="false">
      <c r="A29" s="29" t="s">
        <v>3637</v>
      </c>
      <c r="B29" s="109"/>
      <c r="C29" s="109"/>
      <c r="D29" s="100" t="n">
        <v>4136</v>
      </c>
      <c r="E29" s="109"/>
      <c r="F29" s="18" t="s">
        <v>3638</v>
      </c>
    </row>
    <row r="30" customFormat="false" ht="30" hidden="false" customHeight="true" outlineLevel="0" collapsed="false">
      <c r="A30" s="29" t="s">
        <v>3639</v>
      </c>
      <c r="B30" s="109"/>
      <c r="C30" s="109"/>
      <c r="D30" s="100" t="n">
        <v>367</v>
      </c>
    </row>
    <row r="31" customFormat="false" ht="30" hidden="false" customHeight="true" outlineLevel="0" collapsed="false">
      <c r="A31" s="29" t="s">
        <v>3640</v>
      </c>
      <c r="B31" s="109"/>
      <c r="C31" s="109"/>
      <c r="D31" s="163" t="n">
        <f aca="false">D29/D30</f>
        <v>11.2697547683924</v>
      </c>
    </row>
    <row r="32" customFormat="false" ht="42" hidden="false" customHeight="true" outlineLevel="0" collapsed="false">
      <c r="A32" s="18" t="s">
        <v>3641</v>
      </c>
      <c r="B32" s="109"/>
      <c r="C32" s="109"/>
      <c r="D32" s="100" t="n">
        <v>322</v>
      </c>
      <c r="E32" s="109"/>
      <c r="F32" s="18" t="s">
        <v>3642</v>
      </c>
    </row>
    <row r="33" customFormat="false" ht="9.75" hidden="false" customHeight="true" outlineLevel="0" collapsed="false"/>
    <row r="34" customFormat="false" ht="42" hidden="false" customHeight="true" outlineLevel="0" collapsed="false">
      <c r="A34" s="21" t="s">
        <v>3643</v>
      </c>
    </row>
    <row r="35" customFormat="false" ht="30" hidden="false" customHeight="true" outlineLevel="0" collapsed="false">
      <c r="A35" s="16" t="s">
        <v>1902</v>
      </c>
      <c r="B35" s="16" t="s">
        <v>3644</v>
      </c>
      <c r="C35" s="16" t="s">
        <v>3645</v>
      </c>
      <c r="D35" s="16" t="s">
        <v>1947</v>
      </c>
    </row>
    <row r="36" customFormat="false" ht="54.75" hidden="false" customHeight="true" outlineLevel="0" collapsed="false">
      <c r="A36" s="18" t="s">
        <v>3646</v>
      </c>
      <c r="B36" s="18" t="s">
        <v>3647</v>
      </c>
      <c r="C36" s="223" t="n">
        <f aca="false">Medicare_IFT_Series!J19</f>
        <v>1.44996495566978</v>
      </c>
      <c r="D36" s="18" t="s">
        <v>3648</v>
      </c>
    </row>
    <row r="37" customFormat="false" ht="42" hidden="false" customHeight="true" outlineLevel="0" collapsed="false">
      <c r="A37" s="18" t="s">
        <v>3649</v>
      </c>
      <c r="B37" s="18" t="s">
        <v>3650</v>
      </c>
      <c r="C37" s="224" t="n">
        <f aca="false">Medicare_IFT_Series!G19</f>
        <v>662.146642810521</v>
      </c>
      <c r="D37" s="18" t="s">
        <v>3651</v>
      </c>
    </row>
    <row r="38" customFormat="false" ht="9.75" hidden="false" customHeight="true" outlineLevel="0" collapsed="false"/>
    <row r="39" customFormat="false" ht="19.5" hidden="false" customHeight="true" outlineLevel="0" collapsed="false">
      <c r="A39" s="15" t="s">
        <v>3652</v>
      </c>
      <c r="B39" s="15"/>
      <c r="C39" s="15"/>
      <c r="D39" s="15"/>
      <c r="E39" s="15"/>
      <c r="F39" s="15"/>
    </row>
    <row r="40" customFormat="false" ht="30" hidden="false" customHeight="true" outlineLevel="0" collapsed="false">
      <c r="A40" s="16" t="s">
        <v>3653</v>
      </c>
      <c r="B40" s="16" t="s">
        <v>3654</v>
      </c>
      <c r="C40" s="16" t="s">
        <v>3655</v>
      </c>
      <c r="D40" s="16" t="s">
        <v>1947</v>
      </c>
    </row>
    <row r="41" customFormat="false" ht="16.5" hidden="false" customHeight="true" outlineLevel="0" collapsed="false">
      <c r="A41" s="17" t="s">
        <v>3621</v>
      </c>
      <c r="B41" s="103" t="n">
        <v>1.11</v>
      </c>
      <c r="C41" s="103" t="n">
        <v>1.03</v>
      </c>
      <c r="D41" s="18" t="s">
        <v>3656</v>
      </c>
    </row>
    <row r="42" customFormat="false" ht="15" hidden="false" customHeight="true" outlineLevel="0" collapsed="false">
      <c r="A42" s="122" t="s">
        <v>3623</v>
      </c>
      <c r="B42" s="221" t="n">
        <v>1.02</v>
      </c>
      <c r="C42" s="221" t="n">
        <v>0.88</v>
      </c>
      <c r="D42" s="222"/>
    </row>
    <row r="43" customFormat="false" ht="30" hidden="false" customHeight="true" outlineLevel="0" collapsed="false">
      <c r="A43" s="17" t="s">
        <v>3624</v>
      </c>
      <c r="B43" s="103" t="n">
        <v>0.98</v>
      </c>
      <c r="C43" s="103" t="n">
        <v>0.72</v>
      </c>
      <c r="D43" s="18" t="s">
        <v>3657</v>
      </c>
    </row>
    <row r="44" customFormat="false" ht="15" hidden="false" customHeight="true" outlineLevel="0" collapsed="false">
      <c r="A44" s="122" t="s">
        <v>3616</v>
      </c>
      <c r="B44" s="221" t="n">
        <v>1.1</v>
      </c>
      <c r="C44" s="221" t="n">
        <v>1.01</v>
      </c>
      <c r="D44" s="222"/>
    </row>
    <row r="45" customFormat="false" ht="15" hidden="false" customHeight="true" outlineLevel="0" collapsed="false">
      <c r="A45" s="17" t="s">
        <v>3617</v>
      </c>
      <c r="B45" s="103" t="n">
        <v>1.02</v>
      </c>
      <c r="C45" s="103" t="n">
        <v>0.9</v>
      </c>
      <c r="D45" s="119"/>
    </row>
    <row r="46" customFormat="false" ht="16.5" hidden="false" customHeight="true" outlineLevel="0" collapsed="false">
      <c r="A46" s="34" t="s">
        <v>3619</v>
      </c>
      <c r="B46" s="221" t="n">
        <v>1.03</v>
      </c>
      <c r="C46" s="221" t="n">
        <v>0.9</v>
      </c>
      <c r="D46" s="222"/>
    </row>
    <row r="47" customFormat="false" ht="30" hidden="false" customHeight="true" outlineLevel="0" collapsed="false">
      <c r="A47" s="18" t="s">
        <v>3631</v>
      </c>
      <c r="B47" s="103" t="n">
        <v>0.77</v>
      </c>
      <c r="C47" s="103" t="n">
        <v>0.77</v>
      </c>
      <c r="D47" s="18" t="s">
        <v>3658</v>
      </c>
    </row>
    <row r="48" customFormat="false" ht="15" hidden="false" customHeight="true" outlineLevel="0" collapsed="false">
      <c r="A48" s="122" t="s">
        <v>3633</v>
      </c>
      <c r="B48" s="221" t="n">
        <v>0.86</v>
      </c>
      <c r="C48" s="221" t="n">
        <v>0.84</v>
      </c>
      <c r="D48" s="222"/>
    </row>
    <row r="49" customFormat="false" ht="15" hidden="false" customHeight="true" outlineLevel="0" collapsed="false">
      <c r="A49" s="17" t="s">
        <v>3634</v>
      </c>
      <c r="B49" s="103" t="n">
        <v>0.98</v>
      </c>
      <c r="C49" s="103" t="n">
        <v>0.97</v>
      </c>
      <c r="D49" s="119"/>
    </row>
    <row r="50" customFormat="false" ht="30" hidden="false" customHeight="true" outlineLevel="0" collapsed="false">
      <c r="A50" s="122" t="s">
        <v>3635</v>
      </c>
      <c r="B50" s="221" t="n">
        <v>1.1</v>
      </c>
      <c r="C50" s="221" t="n">
        <v>1.04</v>
      </c>
      <c r="D50" s="34" t="s">
        <v>3659</v>
      </c>
    </row>
    <row r="51" customFormat="false" ht="9.75" hidden="false" customHeight="true" outlineLevel="0" collapsed="false"/>
    <row r="52" customFormat="false" ht="42" hidden="false" customHeight="true" outlineLevel="0" collapsed="false">
      <c r="A52" s="52" t="s">
        <v>3660</v>
      </c>
      <c r="B52" s="52"/>
      <c r="C52" s="52"/>
      <c r="D52" s="52"/>
      <c r="E52" s="52"/>
      <c r="F52" s="52"/>
    </row>
    <row r="53" customFormat="false" ht="9.75" hidden="false" customHeight="true" outlineLevel="0" collapsed="false"/>
    <row r="54" customFormat="false" ht="19.5" hidden="false" customHeight="true" outlineLevel="0" collapsed="false">
      <c r="A54" s="15" t="s">
        <v>3661</v>
      </c>
      <c r="B54" s="15"/>
      <c r="C54" s="15"/>
      <c r="D54" s="15"/>
      <c r="E54" s="15"/>
      <c r="F54" s="15"/>
    </row>
    <row r="55" customFormat="false" ht="30" hidden="false" customHeight="true" outlineLevel="0" collapsed="false">
      <c r="A55" s="51" t="s">
        <v>3662</v>
      </c>
      <c r="B55" s="51"/>
      <c r="C55" s="51"/>
      <c r="D55" s="51"/>
      <c r="E55" s="51"/>
      <c r="F55" s="51"/>
    </row>
    <row r="56" customFormat="false" ht="16.5" hidden="false" customHeight="true" outlineLevel="0" collapsed="false">
      <c r="A56" s="51" t="s">
        <v>3663</v>
      </c>
      <c r="B56" s="51"/>
      <c r="C56" s="51"/>
      <c r="D56" s="51"/>
      <c r="E56" s="51"/>
      <c r="F56" s="51"/>
    </row>
    <row r="57" customFormat="false" ht="16.5" hidden="false" customHeight="true" outlineLevel="0" collapsed="false">
      <c r="A57" s="51" t="s">
        <v>3664</v>
      </c>
      <c r="B57" s="51"/>
      <c r="C57" s="51"/>
      <c r="D57" s="51"/>
      <c r="E57" s="51"/>
      <c r="F57" s="51"/>
    </row>
    <row r="58" customFormat="false" ht="16.5" hidden="false" customHeight="true" outlineLevel="0" collapsed="false">
      <c r="A58" s="51" t="s">
        <v>3665</v>
      </c>
      <c r="B58" s="51"/>
      <c r="C58" s="51"/>
      <c r="D58" s="51"/>
      <c r="E58" s="51"/>
      <c r="F58" s="51"/>
    </row>
    <row r="59" customFormat="false" ht="16.5" hidden="false" customHeight="true" outlineLevel="0" collapsed="false">
      <c r="A59" s="51" t="s">
        <v>3666</v>
      </c>
      <c r="B59" s="51"/>
      <c r="C59" s="51"/>
      <c r="D59" s="51"/>
      <c r="E59" s="51"/>
      <c r="F59" s="51"/>
    </row>
    <row r="60" customFormat="false" ht="30" hidden="false" customHeight="true" outlineLevel="0" collapsed="false">
      <c r="A60" s="51" t="s">
        <v>3667</v>
      </c>
      <c r="B60" s="51"/>
      <c r="C60" s="51"/>
      <c r="D60" s="51"/>
      <c r="E60" s="51"/>
      <c r="F60" s="51"/>
    </row>
    <row r="61" customFormat="false" ht="9.75" hidden="false" customHeight="true" outlineLevel="0" collapsed="false"/>
    <row r="62" customFormat="false" ht="30" hidden="false" customHeight="true" outlineLevel="0" collapsed="false">
      <c r="A62" s="19" t="s">
        <v>3668</v>
      </c>
      <c r="B62" s="19"/>
      <c r="C62" s="19"/>
      <c r="D62" s="19"/>
      <c r="E62" s="19"/>
      <c r="F62" s="19"/>
    </row>
    <row r="63" customFormat="false" ht="42" hidden="false" customHeight="true" outlineLevel="0" collapsed="false">
      <c r="A63" s="19" t="s">
        <v>3669</v>
      </c>
      <c r="B63" s="19"/>
      <c r="C63" s="19"/>
      <c r="D63" s="19"/>
      <c r="E63" s="19"/>
      <c r="F63" s="19"/>
    </row>
  </sheetData>
  <mergeCells count="15">
    <mergeCell ref="A1:F1"/>
    <mergeCell ref="A2:F2"/>
    <mergeCell ref="A4:F4"/>
    <mergeCell ref="A14:F14"/>
    <mergeCell ref="A39:F39"/>
    <mergeCell ref="A52:F52"/>
    <mergeCell ref="A54:F54"/>
    <mergeCell ref="A55:F55"/>
    <mergeCell ref="A56:F56"/>
    <mergeCell ref="A57:F57"/>
    <mergeCell ref="A58:F58"/>
    <mergeCell ref="A59:F59"/>
    <mergeCell ref="A60:F60"/>
    <mergeCell ref="A62:F62"/>
    <mergeCell ref="A63:F63"/>
  </mergeCells>
  <printOptions headings="false" gridLines="false" gridLinesSet="true" horizontalCentered="false" verticalCentered="false"/>
  <pageMargins left="0.75" right="0.75" top="1" bottom="1" header="0.511811023622047" footer="0.511805555555556"/>
  <pageSetup paperSize="9" scale="100" fitToWidth="1" fitToHeight="0" pageOrder="downThenOver" orientation="landscape" blackAndWhite="false" draft="false" cellComments="none" horizontalDpi="300" verticalDpi="300" copies="1"/>
  <headerFooter differentFirst="false" differentOddEven="false">
    <oddHeader/>
    <oddFooter>&amp;L&amp;8 IFT Sourced Evidence Master  |  verified 09 July 2026&amp;R&amp;8 &amp;A  |  page &amp;P of &amp;N</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7C8C"/>
    <pageSetUpPr fitToPage="true"/>
  </sheetPr>
  <dimension ref="A1:F72"/>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3" min="2" style="1" width="16"/>
    <col collapsed="false" customWidth="true" hidden="false" outlineLevel="0" max="4" min="4" style="1" width="48"/>
    <col collapsed="false" customWidth="true" hidden="false" outlineLevel="0" max="5" min="5" style="1" width="54"/>
    <col collapsed="false" customWidth="true" hidden="false" outlineLevel="0" max="6" min="6" style="1" width="62"/>
  </cols>
  <sheetData>
    <row r="1" customFormat="false" ht="24" hidden="false" customHeight="true" outlineLevel="0" collapsed="false">
      <c r="A1" s="14" t="s">
        <v>3670</v>
      </c>
      <c r="B1" s="14"/>
      <c r="C1" s="14"/>
      <c r="D1" s="14"/>
      <c r="E1" s="14"/>
      <c r="F1" s="14"/>
    </row>
    <row r="2" customFormat="false" ht="30" hidden="false" customHeight="true" outlineLevel="0" collapsed="false">
      <c r="A2" s="3" t="s">
        <v>3671</v>
      </c>
      <c r="B2" s="3"/>
      <c r="C2" s="3"/>
      <c r="D2" s="3"/>
      <c r="E2" s="3"/>
      <c r="F2" s="3"/>
    </row>
    <row r="3" customFormat="false" ht="13.5" hidden="false" customHeight="true" outlineLevel="0" collapsed="false"/>
    <row r="4" customFormat="false" ht="16.5" hidden="false" customHeight="true" outlineLevel="0" collapsed="false">
      <c r="A4" s="15" t="s">
        <v>3672</v>
      </c>
      <c r="B4" s="15"/>
      <c r="C4" s="15"/>
      <c r="D4" s="15"/>
      <c r="E4" s="15"/>
      <c r="F4" s="15"/>
    </row>
    <row r="5" customFormat="false" ht="33.75" hidden="false" customHeight="true" outlineLevel="0" collapsed="false">
      <c r="A5" s="16" t="s">
        <v>3205</v>
      </c>
      <c r="B5" s="16" t="s">
        <v>3673</v>
      </c>
      <c r="C5" s="16" t="s">
        <v>3674</v>
      </c>
      <c r="D5" s="16" t="s">
        <v>3675</v>
      </c>
      <c r="E5" s="16" t="s">
        <v>3676</v>
      </c>
      <c r="F5" s="16" t="s">
        <v>3677</v>
      </c>
    </row>
    <row r="6" customFormat="false" ht="54.75" hidden="false" customHeight="true" outlineLevel="0" collapsed="false">
      <c r="A6" s="18" t="s">
        <v>3678</v>
      </c>
      <c r="B6" s="98" t="n">
        <v>2554379</v>
      </c>
      <c r="C6" s="98" t="n">
        <v>2552895</v>
      </c>
      <c r="D6" s="105" t="n">
        <f aca="false">B6-C6</f>
        <v>1484</v>
      </c>
      <c r="E6" s="225" t="n">
        <f aca="false">IF(C6=0,0,B6/C6-1)</f>
        <v>0.000581300836893117</v>
      </c>
      <c r="F6" s="18" t="s">
        <v>3679</v>
      </c>
    </row>
    <row r="7" customFormat="false" ht="42" hidden="false" customHeight="true" outlineLevel="0" collapsed="false">
      <c r="A7" s="18" t="s">
        <v>3680</v>
      </c>
      <c r="B7" s="98" t="n">
        <v>20973122</v>
      </c>
      <c r="C7" s="98" t="n">
        <v>21049219</v>
      </c>
      <c r="D7" s="105" t="n">
        <f aca="false">B7-C7</f>
        <v>-76097</v>
      </c>
      <c r="E7" s="225" t="n">
        <f aca="false">IF(C7=0,0,B7/C7-1)</f>
        <v>-0.00361519351383066</v>
      </c>
      <c r="F7" s="18" t="s">
        <v>3681</v>
      </c>
    </row>
    <row r="8" customFormat="false" ht="30" hidden="false" customHeight="true" outlineLevel="0" collapsed="false">
      <c r="A8" s="18" t="s">
        <v>3682</v>
      </c>
      <c r="B8" s="98" t="n">
        <v>2311549</v>
      </c>
      <c r="C8" s="98" t="n">
        <v>2311549</v>
      </c>
      <c r="D8" s="105" t="n">
        <f aca="false">B8-C8</f>
        <v>0</v>
      </c>
      <c r="E8" s="225" t="n">
        <f aca="false">IF(C8=0,0,B8/C8-1)</f>
        <v>0</v>
      </c>
      <c r="F8" s="18" t="s">
        <v>3683</v>
      </c>
    </row>
    <row r="9" customFormat="false" ht="30" hidden="false" customHeight="true" outlineLevel="0" collapsed="false">
      <c r="A9" s="18" t="s">
        <v>3684</v>
      </c>
      <c r="B9" s="98" t="n">
        <v>20031450</v>
      </c>
      <c r="C9" s="98" t="n">
        <v>20031450</v>
      </c>
      <c r="D9" s="105" t="n">
        <f aca="false">B9-C9</f>
        <v>0</v>
      </c>
      <c r="E9" s="225" t="n">
        <f aca="false">IF(C9=0,0,B9/C9-1)</f>
        <v>0</v>
      </c>
      <c r="F9" s="18" t="s">
        <v>3685</v>
      </c>
    </row>
    <row r="10" customFormat="false" ht="9.75" hidden="false" customHeight="true" outlineLevel="0" collapsed="false"/>
    <row r="11" customFormat="false" ht="19.5" hidden="false" customHeight="true" outlineLevel="0" collapsed="false">
      <c r="A11" s="15" t="s">
        <v>3686</v>
      </c>
      <c r="B11" s="15"/>
      <c r="C11" s="15"/>
      <c r="D11" s="15"/>
      <c r="E11" s="15"/>
      <c r="F11" s="15"/>
    </row>
    <row r="12" customFormat="false" ht="24" hidden="false" customHeight="true" outlineLevel="0" collapsed="false">
      <c r="A12" s="16" t="s">
        <v>2115</v>
      </c>
      <c r="B12" s="16" t="s">
        <v>733</v>
      </c>
      <c r="C12" s="16" t="s">
        <v>741</v>
      </c>
      <c r="D12" s="16" t="s">
        <v>1904</v>
      </c>
    </row>
    <row r="13" customFormat="false" ht="16.5" hidden="false" customHeight="true" outlineLevel="0" collapsed="false">
      <c r="A13" s="97" t="s">
        <v>3687</v>
      </c>
      <c r="B13" s="98" t="n">
        <v>114186550</v>
      </c>
      <c r="C13" s="98" t="n">
        <v>118149713</v>
      </c>
      <c r="D13" s="18" t="s">
        <v>3688</v>
      </c>
    </row>
    <row r="14" customFormat="false" ht="16.5" hidden="false" customHeight="true" outlineLevel="0" collapsed="false">
      <c r="A14" s="9" t="s">
        <v>3689</v>
      </c>
      <c r="B14" s="98" t="n">
        <v>20031450</v>
      </c>
      <c r="C14" s="98" t="n">
        <v>21049219</v>
      </c>
      <c r="D14" s="17" t="s">
        <v>3690</v>
      </c>
    </row>
    <row r="15" customFormat="false" ht="30" hidden="false" customHeight="true" outlineLevel="0" collapsed="false">
      <c r="A15" s="9" t="s">
        <v>3691</v>
      </c>
      <c r="B15" s="98" t="n">
        <v>2311549</v>
      </c>
      <c r="C15" s="98" t="n">
        <v>2552895</v>
      </c>
      <c r="D15" s="17" t="s">
        <v>3690</v>
      </c>
    </row>
    <row r="16" customFormat="false" ht="15" hidden="false" customHeight="true" outlineLevel="0" collapsed="false">
      <c r="A16" s="97" t="s">
        <v>3692</v>
      </c>
      <c r="B16" s="98" t="n">
        <v>212095</v>
      </c>
      <c r="C16" s="98" t="n">
        <v>203463</v>
      </c>
      <c r="D16" s="17" t="s">
        <v>3690</v>
      </c>
    </row>
    <row r="17" customFormat="false" ht="30" hidden="false" customHeight="true" outlineLevel="0" collapsed="false">
      <c r="A17" s="9" t="s">
        <v>3693</v>
      </c>
      <c r="B17" s="98" t="n">
        <v>232973</v>
      </c>
      <c r="C17" s="98" t="n">
        <v>238268</v>
      </c>
      <c r="D17" s="17" t="s">
        <v>737</v>
      </c>
    </row>
    <row r="18" customFormat="false" ht="15" hidden="false" customHeight="true" outlineLevel="0" collapsed="false">
      <c r="A18" s="20" t="s">
        <v>3694</v>
      </c>
      <c r="B18" s="135" t="n">
        <f aca="false">SUM(B13:B17)</f>
        <v>136974617</v>
      </c>
      <c r="C18" s="135" t="n">
        <f aca="false">SUM(C13:C17)</f>
        <v>142193558</v>
      </c>
    </row>
    <row r="19" customFormat="false" ht="16.5" hidden="false" customHeight="true" outlineLevel="0" collapsed="false">
      <c r="A19" s="8" t="s">
        <v>3695</v>
      </c>
      <c r="B19" s="98" t="n">
        <v>136974618</v>
      </c>
      <c r="C19" s="98" t="n">
        <v>142193558</v>
      </c>
      <c r="D19" s="18" t="s">
        <v>3696</v>
      </c>
    </row>
    <row r="20" customFormat="false" ht="15" hidden="false" customHeight="true" outlineLevel="0" collapsed="false">
      <c r="A20" s="20" t="s">
        <v>3697</v>
      </c>
      <c r="B20" s="135" t="n">
        <f aca="false">B18-B19</f>
        <v>-1</v>
      </c>
      <c r="C20" s="135" t="n">
        <f aca="false">C18-C19</f>
        <v>0</v>
      </c>
    </row>
    <row r="21" customFormat="false" ht="67.5" hidden="false" customHeight="true" outlineLevel="0" collapsed="false">
      <c r="A21" s="19" t="s">
        <v>3698</v>
      </c>
      <c r="B21" s="19"/>
      <c r="C21" s="19"/>
      <c r="D21" s="19"/>
      <c r="E21" s="19"/>
      <c r="F21" s="19"/>
    </row>
    <row r="22" customFormat="false" ht="9.75" hidden="false" customHeight="true" outlineLevel="0" collapsed="false"/>
    <row r="23" customFormat="false" ht="9.75" hidden="false" customHeight="true" outlineLevel="0" collapsed="false"/>
    <row r="24" customFormat="false" ht="19.5" hidden="false" customHeight="true" outlineLevel="0" collapsed="false">
      <c r="A24" s="15" t="s">
        <v>3699</v>
      </c>
      <c r="B24" s="15"/>
      <c r="C24" s="15"/>
      <c r="D24" s="15"/>
      <c r="E24" s="15"/>
      <c r="F24" s="15"/>
    </row>
    <row r="25" customFormat="false" ht="33.75" hidden="false" customHeight="true" outlineLevel="0" collapsed="false">
      <c r="A25" s="16" t="s">
        <v>723</v>
      </c>
      <c r="B25" s="16" t="s">
        <v>3700</v>
      </c>
      <c r="C25" s="16" t="s">
        <v>3701</v>
      </c>
      <c r="D25" s="16" t="s">
        <v>3675</v>
      </c>
      <c r="E25" s="16" t="s">
        <v>3676</v>
      </c>
      <c r="F25" s="16" t="s">
        <v>3702</v>
      </c>
    </row>
    <row r="26" customFormat="false" ht="67.5" hidden="false" customHeight="true" outlineLevel="0" collapsed="false">
      <c r="A26" s="124" t="s">
        <v>2171</v>
      </c>
      <c r="B26" s="98" t="n">
        <v>39885120</v>
      </c>
      <c r="C26" s="98" t="n">
        <v>39866643</v>
      </c>
      <c r="D26" s="105" t="n">
        <f aca="false">B26-C26</f>
        <v>18477</v>
      </c>
      <c r="E26" s="225" t="n">
        <f aca="false">B26/C26-1</f>
        <v>0.000463470174802527</v>
      </c>
      <c r="F26" s="18" t="s">
        <v>3703</v>
      </c>
    </row>
    <row r="27" customFormat="false" ht="15" hidden="false" customHeight="true" outlineLevel="0" collapsed="false">
      <c r="A27" s="124" t="s">
        <v>2172</v>
      </c>
      <c r="B27" s="98" t="n">
        <v>39434956</v>
      </c>
      <c r="C27" s="98" t="n">
        <v>39412599</v>
      </c>
      <c r="D27" s="105" t="n">
        <f aca="false">B27-C27</f>
        <v>22357</v>
      </c>
      <c r="E27" s="225" t="n">
        <f aca="false">B27/C27-1</f>
        <v>0.000567255156149527</v>
      </c>
    </row>
    <row r="28" customFormat="false" ht="15" hidden="false" customHeight="true" outlineLevel="0" collapsed="false">
      <c r="A28" s="124" t="s">
        <v>1062</v>
      </c>
      <c r="B28" s="98" t="n">
        <v>39008298</v>
      </c>
      <c r="C28" s="98" t="n">
        <v>39004364</v>
      </c>
      <c r="D28" s="105" t="n">
        <f aca="false">B28-C28</f>
        <v>3934</v>
      </c>
      <c r="E28" s="225" t="n">
        <f aca="false">B28/C28-1</f>
        <v>0.000100860508839506</v>
      </c>
    </row>
    <row r="29" customFormat="false" ht="15" hidden="false" customHeight="true" outlineLevel="0" collapsed="false">
      <c r="A29" s="124" t="s">
        <v>2173</v>
      </c>
      <c r="B29" s="98" t="n">
        <v>38590732</v>
      </c>
      <c r="C29" s="98" t="n">
        <v>38578094</v>
      </c>
      <c r="D29" s="105" t="n">
        <f aca="false">B29-C29</f>
        <v>12638</v>
      </c>
      <c r="E29" s="225" t="n">
        <f aca="false">B29/C29-1</f>
        <v>0.000327595240967593</v>
      </c>
    </row>
    <row r="30" customFormat="false" ht="15" hidden="false" customHeight="true" outlineLevel="0" collapsed="false">
      <c r="A30" s="124" t="s">
        <v>778</v>
      </c>
      <c r="B30" s="98" t="n">
        <v>36484846</v>
      </c>
      <c r="C30" s="98" t="n">
        <v>36484846</v>
      </c>
      <c r="D30" s="105" t="n">
        <f aca="false">B30-C30</f>
        <v>0</v>
      </c>
      <c r="E30" s="225" t="n">
        <f aca="false">B30/C30-1</f>
        <v>0</v>
      </c>
    </row>
    <row r="31" customFormat="false" ht="16.5" hidden="false" customHeight="true" outlineLevel="0" collapsed="false">
      <c r="A31" s="19" t="s">
        <v>3704</v>
      </c>
      <c r="B31" s="19"/>
      <c r="C31" s="19"/>
      <c r="D31" s="19"/>
      <c r="E31" s="19"/>
      <c r="F31" s="19"/>
    </row>
    <row r="32" customFormat="false" ht="9.75" hidden="false" customHeight="true" outlineLevel="0" collapsed="false"/>
    <row r="33" customFormat="false" ht="9.75" hidden="false" customHeight="true" outlineLevel="0" collapsed="false"/>
    <row r="34" customFormat="false" ht="19.5" hidden="false" customHeight="true" outlineLevel="0" collapsed="false">
      <c r="A34" s="15" t="s">
        <v>3705</v>
      </c>
      <c r="B34" s="15"/>
      <c r="C34" s="15"/>
      <c r="D34" s="15"/>
      <c r="E34" s="15"/>
      <c r="F34" s="15"/>
    </row>
    <row r="35" customFormat="false" ht="24" hidden="false" customHeight="true" outlineLevel="0" collapsed="false">
      <c r="A35" s="16" t="s">
        <v>3706</v>
      </c>
      <c r="B35" s="16" t="s">
        <v>723</v>
      </c>
      <c r="C35" s="16" t="s">
        <v>3707</v>
      </c>
      <c r="D35" s="16" t="s">
        <v>1927</v>
      </c>
      <c r="E35" s="16" t="s">
        <v>1904</v>
      </c>
    </row>
    <row r="36" customFormat="false" ht="42" hidden="false" customHeight="true" outlineLevel="0" collapsed="false">
      <c r="A36" s="18" t="s">
        <v>3708</v>
      </c>
      <c r="B36" s="124" t="s">
        <v>733</v>
      </c>
      <c r="C36" s="98" t="n">
        <v>2929273</v>
      </c>
      <c r="D36" s="18" t="s">
        <v>3709</v>
      </c>
      <c r="E36" s="17" t="s">
        <v>3710</v>
      </c>
    </row>
    <row r="37" customFormat="false" ht="67.5" hidden="false" customHeight="true" outlineLevel="0" collapsed="false">
      <c r="A37" s="18" t="s">
        <v>3711</v>
      </c>
      <c r="B37" s="124" t="s">
        <v>733</v>
      </c>
      <c r="C37" s="98" t="n">
        <v>2205490</v>
      </c>
      <c r="D37" s="18" t="s">
        <v>3712</v>
      </c>
      <c r="E37" s="17" t="s">
        <v>100</v>
      </c>
    </row>
    <row r="38" customFormat="false" ht="54.75" hidden="false" customHeight="true" outlineLevel="0" collapsed="false">
      <c r="A38" s="18" t="s">
        <v>3713</v>
      </c>
      <c r="B38" s="124" t="s">
        <v>806</v>
      </c>
      <c r="C38" s="98" t="n">
        <v>5510664</v>
      </c>
      <c r="D38" s="18" t="s">
        <v>3714</v>
      </c>
      <c r="E38" s="17" t="s">
        <v>826</v>
      </c>
    </row>
    <row r="39" customFormat="false" ht="42" hidden="false" customHeight="true" outlineLevel="0" collapsed="false">
      <c r="A39" s="18" t="s">
        <v>3715</v>
      </c>
      <c r="B39" s="124" t="s">
        <v>806</v>
      </c>
      <c r="C39" s="98" t="n">
        <v>7512656</v>
      </c>
      <c r="D39" s="18" t="s">
        <v>3716</v>
      </c>
      <c r="E39" s="17" t="s">
        <v>826</v>
      </c>
    </row>
    <row r="40" customFormat="false" ht="42" hidden="false" customHeight="true" outlineLevel="0" collapsed="false">
      <c r="A40" s="18" t="s">
        <v>3717</v>
      </c>
      <c r="B40" s="124" t="s">
        <v>806</v>
      </c>
      <c r="C40" s="98" t="n">
        <v>871753</v>
      </c>
      <c r="D40" s="18" t="s">
        <v>3718</v>
      </c>
      <c r="E40" s="17" t="s">
        <v>298</v>
      </c>
    </row>
    <row r="41" customFormat="false" ht="9.75" hidden="false" customHeight="true" outlineLevel="0" collapsed="false"/>
    <row r="42" customFormat="false" ht="24" hidden="false" customHeight="true" outlineLevel="0" collapsed="false">
      <c r="A42" s="16" t="s">
        <v>3719</v>
      </c>
      <c r="B42" s="16" t="s">
        <v>581</v>
      </c>
      <c r="C42" s="16" t="s">
        <v>725</v>
      </c>
      <c r="D42" s="16" t="s">
        <v>3720</v>
      </c>
    </row>
    <row r="43" customFormat="false" ht="54.75" hidden="false" customHeight="true" outlineLevel="0" collapsed="false">
      <c r="A43" s="18" t="s">
        <v>3721</v>
      </c>
      <c r="B43" s="149" t="n">
        <f aca="false">C38/3185144</f>
        <v>1.73011455683008</v>
      </c>
      <c r="C43" s="17" t="s">
        <v>751</v>
      </c>
      <c r="D43" s="18" t="s">
        <v>3722</v>
      </c>
    </row>
    <row r="44" customFormat="false" ht="30" hidden="false" customHeight="true" outlineLevel="0" collapsed="false">
      <c r="A44" s="18" t="s">
        <v>3723</v>
      </c>
      <c r="B44" s="99" t="n">
        <f aca="false">C40/C38</f>
        <v>0.158193822014915</v>
      </c>
      <c r="C44" s="17" t="s">
        <v>751</v>
      </c>
      <c r="D44" s="18" t="s">
        <v>3724</v>
      </c>
    </row>
    <row r="45" customFormat="false" ht="42" hidden="false" customHeight="true" outlineLevel="0" collapsed="false">
      <c r="A45" s="9" t="s">
        <v>3725</v>
      </c>
      <c r="B45" s="99" t="n">
        <f aca="false">C37/C36</f>
        <v>0.752913777582356</v>
      </c>
      <c r="C45" s="17" t="s">
        <v>751</v>
      </c>
      <c r="D45" s="18" t="s">
        <v>3726</v>
      </c>
    </row>
    <row r="46" customFormat="false" ht="79.5" hidden="false" customHeight="true" outlineLevel="0" collapsed="false">
      <c r="A46" s="18" t="s">
        <v>3727</v>
      </c>
      <c r="B46" s="99" t="n">
        <f aca="false">825178/C36</f>
        <v>0.281700613087275</v>
      </c>
      <c r="C46" s="17" t="s">
        <v>751</v>
      </c>
      <c r="D46" s="18" t="s">
        <v>3728</v>
      </c>
    </row>
    <row r="47" customFormat="false" ht="9.75" hidden="false" customHeight="true" outlineLevel="0" collapsed="false"/>
    <row r="48" customFormat="false" ht="30" hidden="false" customHeight="true" outlineLevel="0" collapsed="false">
      <c r="A48" s="21" t="s">
        <v>3729</v>
      </c>
    </row>
    <row r="49" customFormat="false" ht="16.5" hidden="false" customHeight="true" outlineLevel="0" collapsed="false">
      <c r="A49" s="51" t="s">
        <v>3730</v>
      </c>
      <c r="B49" s="51"/>
      <c r="C49" s="51"/>
      <c r="D49" s="51"/>
      <c r="E49" s="51"/>
      <c r="F49" s="51"/>
    </row>
    <row r="50" customFormat="false" ht="16.5" hidden="false" customHeight="true" outlineLevel="0" collapsed="false">
      <c r="A50" s="51" t="s">
        <v>3731</v>
      </c>
      <c r="B50" s="51"/>
      <c r="C50" s="51"/>
      <c r="D50" s="51"/>
      <c r="E50" s="51"/>
      <c r="F50" s="51"/>
    </row>
    <row r="51" customFormat="false" ht="16.5" hidden="false" customHeight="true" outlineLevel="0" collapsed="false">
      <c r="A51" s="51" t="s">
        <v>3732</v>
      </c>
      <c r="B51" s="51"/>
      <c r="C51" s="51"/>
      <c r="D51" s="51"/>
      <c r="E51" s="51"/>
      <c r="F51" s="51"/>
    </row>
    <row r="52" customFormat="false" ht="42" hidden="false" customHeight="true" outlineLevel="0" collapsed="false">
      <c r="A52" s="226" t="s">
        <v>3733</v>
      </c>
    </row>
    <row r="53" customFormat="false" ht="16.5" hidden="false" customHeight="true" outlineLevel="0" collapsed="false">
      <c r="A53" s="51" t="s">
        <v>3734</v>
      </c>
      <c r="B53" s="51"/>
      <c r="C53" s="51"/>
      <c r="D53" s="51"/>
      <c r="E53" s="51"/>
      <c r="F53" s="51"/>
    </row>
    <row r="54" customFormat="false" ht="16.5" hidden="false" customHeight="true" outlineLevel="0" collapsed="false">
      <c r="A54" s="51" t="s">
        <v>3735</v>
      </c>
      <c r="B54" s="51"/>
      <c r="C54" s="51"/>
      <c r="D54" s="51"/>
      <c r="E54" s="51"/>
      <c r="F54" s="51"/>
    </row>
    <row r="55" customFormat="false" ht="9.75" hidden="false" customHeight="true" outlineLevel="0" collapsed="false"/>
    <row r="56" customFormat="false" ht="42" hidden="false" customHeight="true" outlineLevel="0" collapsed="false">
      <c r="A56" s="21" t="s">
        <v>3736</v>
      </c>
    </row>
    <row r="57" customFormat="false" ht="24" hidden="false" customHeight="true" outlineLevel="0" collapsed="false">
      <c r="A57" s="16" t="s">
        <v>1904</v>
      </c>
      <c r="B57" s="16" t="s">
        <v>3737</v>
      </c>
      <c r="C57" s="16" t="s">
        <v>3738</v>
      </c>
      <c r="D57" s="16" t="s">
        <v>3739</v>
      </c>
      <c r="E57" s="16" t="s">
        <v>2085</v>
      </c>
    </row>
    <row r="58" customFormat="false" ht="30" hidden="false" customHeight="true" outlineLevel="0" collapsed="false">
      <c r="A58" s="97" t="s">
        <v>3740</v>
      </c>
      <c r="B58" s="98" t="n">
        <v>136974618</v>
      </c>
      <c r="C58" s="98" t="n">
        <v>142193558</v>
      </c>
      <c r="D58" s="18" t="s">
        <v>3741</v>
      </c>
      <c r="E58" s="18" t="s">
        <v>3742</v>
      </c>
    </row>
    <row r="59" customFormat="false" ht="16.5" hidden="false" customHeight="true" outlineLevel="0" collapsed="false">
      <c r="A59" s="97" t="s">
        <v>3743</v>
      </c>
      <c r="B59" s="98" t="n">
        <v>136974618</v>
      </c>
      <c r="C59" s="98" t="n">
        <v>142193558</v>
      </c>
      <c r="D59" s="18" t="s">
        <v>3744</v>
      </c>
      <c r="E59" s="18" t="s">
        <v>3745</v>
      </c>
    </row>
    <row r="60" customFormat="false" ht="16.5" hidden="false" customHeight="true" outlineLevel="0" collapsed="false">
      <c r="A60" s="97" t="s">
        <v>3746</v>
      </c>
      <c r="B60" s="98" t="n">
        <v>155397747</v>
      </c>
      <c r="C60" s="109"/>
      <c r="D60" s="18" t="s">
        <v>3747</v>
      </c>
      <c r="E60" s="18" t="s">
        <v>3748</v>
      </c>
    </row>
    <row r="61" customFormat="false" ht="30" hidden="false" customHeight="true" outlineLevel="0" collapsed="false">
      <c r="A61" s="97" t="s">
        <v>3749</v>
      </c>
      <c r="B61" s="98" t="n">
        <v>80132982</v>
      </c>
      <c r="C61" s="98" t="n">
        <v>82384035</v>
      </c>
      <c r="D61" s="18" t="s">
        <v>3750</v>
      </c>
      <c r="E61" s="18" t="s">
        <v>3751</v>
      </c>
    </row>
    <row r="62" customFormat="false" ht="30" hidden="false" customHeight="true" outlineLevel="0" collapsed="false">
      <c r="A62" s="8" t="s">
        <v>3752</v>
      </c>
      <c r="B62" s="227" t="n">
        <f aca="false">MAX(B58:B61)/MIN(B58:B61)-1</f>
        <v>0.939248273576042</v>
      </c>
      <c r="C62" s="109"/>
      <c r="D62" s="109"/>
      <c r="E62" s="18" t="s">
        <v>3753</v>
      </c>
    </row>
    <row r="63" customFormat="false" ht="9.75" hidden="false" customHeight="true" outlineLevel="0" collapsed="false"/>
    <row r="64" customFormat="false" ht="30" hidden="false" customHeight="true" outlineLevel="0" collapsed="false">
      <c r="A64" s="21" t="s">
        <v>3754</v>
      </c>
    </row>
    <row r="65" customFormat="false" ht="16.5" hidden="false" customHeight="true" outlineLevel="0" collapsed="false">
      <c r="A65" s="51" t="s">
        <v>3755</v>
      </c>
      <c r="B65" s="51"/>
      <c r="C65" s="51"/>
      <c r="D65" s="51"/>
      <c r="E65" s="51"/>
      <c r="F65" s="51"/>
    </row>
    <row r="66" customFormat="false" ht="42" hidden="false" customHeight="true" outlineLevel="0" collapsed="false">
      <c r="A66" s="226" t="s">
        <v>3756</v>
      </c>
    </row>
    <row r="67" customFormat="false" ht="16.5" hidden="false" customHeight="true" outlineLevel="0" collapsed="false">
      <c r="A67" s="51" t="s">
        <v>3757</v>
      </c>
      <c r="B67" s="51"/>
      <c r="C67" s="51"/>
      <c r="D67" s="51"/>
      <c r="E67" s="51"/>
      <c r="F67" s="51"/>
    </row>
    <row r="68" customFormat="false" ht="30" hidden="false" customHeight="true" outlineLevel="0" collapsed="false">
      <c r="A68" s="226" t="s">
        <v>3758</v>
      </c>
    </row>
    <row r="69" customFormat="false" ht="16.5" hidden="false" customHeight="true" outlineLevel="0" collapsed="false">
      <c r="A69" s="51" t="s">
        <v>3759</v>
      </c>
      <c r="B69" s="51"/>
      <c r="C69" s="51"/>
      <c r="D69" s="51"/>
      <c r="E69" s="51"/>
      <c r="F69" s="51"/>
    </row>
    <row r="70" customFormat="false" ht="9.75" hidden="false" customHeight="true" outlineLevel="0" collapsed="false"/>
    <row r="71" customFormat="false" ht="19.5" hidden="false" customHeight="true" outlineLevel="0" collapsed="false">
      <c r="A71" s="15" t="s">
        <v>3760</v>
      </c>
      <c r="B71" s="15"/>
      <c r="C71" s="15"/>
      <c r="D71" s="15"/>
      <c r="E71" s="15"/>
      <c r="F71" s="15"/>
    </row>
    <row r="72" customFormat="false" ht="42" hidden="false" customHeight="true" outlineLevel="0" collapsed="false">
      <c r="A72" s="51" t="s">
        <v>3761</v>
      </c>
      <c r="B72" s="51"/>
      <c r="C72" s="51"/>
      <c r="D72" s="51"/>
      <c r="E72" s="51"/>
      <c r="F72" s="51"/>
    </row>
  </sheetData>
  <mergeCells count="18">
    <mergeCell ref="A1:F1"/>
    <mergeCell ref="A2:F2"/>
    <mergeCell ref="A4:F4"/>
    <mergeCell ref="A11:F11"/>
    <mergeCell ref="A21:F21"/>
    <mergeCell ref="A24:F24"/>
    <mergeCell ref="A31:F31"/>
    <mergeCell ref="A34:F34"/>
    <mergeCell ref="A49:F49"/>
    <mergeCell ref="A50:F50"/>
    <mergeCell ref="A51:F51"/>
    <mergeCell ref="A53:F53"/>
    <mergeCell ref="A54:F54"/>
    <mergeCell ref="A65:F65"/>
    <mergeCell ref="A67:F67"/>
    <mergeCell ref="A69:F69"/>
    <mergeCell ref="A71:F71"/>
    <mergeCell ref="A72:F72"/>
  </mergeCells>
  <printOptions headings="false" gridLines="false" gridLinesSet="true" horizontalCentered="false" verticalCentered="false"/>
  <pageMargins left="0.75" right="0.75" top="1" bottom="1" header="0.511811023622047" footer="0.511805555555556"/>
  <pageSetup paperSize="5" scale="100" fitToWidth="1" fitToHeight="0" pageOrder="downThenOver" orientation="landscape" blackAndWhite="false" draft="false" cellComments="none" horizontalDpi="300" verticalDpi="300" copies="1"/>
  <headerFooter differentFirst="false" differentOddEven="false">
    <oddHeader/>
    <oddFooter>&amp;L&amp;8 IFT Sourced Evidence Master  |  verified 09 July 2026&amp;R&amp;8 &amp;A  |  page &amp;P of &amp;N</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20"/>
  </cols>
  <sheetData>
    <row r="1" customFormat="false" ht="24" hidden="false" customHeight="true" outlineLevel="0" collapsed="false">
      <c r="A1" s="14" t="s">
        <v>3762</v>
      </c>
      <c r="B1" s="14"/>
    </row>
    <row r="2" customFormat="false" ht="42" hidden="false" customHeight="true" outlineLevel="0" collapsed="false">
      <c r="A2" s="3" t="s">
        <v>3763</v>
      </c>
      <c r="B2" s="3"/>
    </row>
    <row r="3" customFormat="false" ht="13.5" hidden="false" customHeight="true" outlineLevel="0" collapsed="false"/>
    <row r="4" customFormat="false" ht="79.5" hidden="false" customHeight="true" outlineLevel="0" collapsed="false">
      <c r="A4" s="8" t="s">
        <v>3764</v>
      </c>
      <c r="B4" s="9" t="s">
        <v>3765</v>
      </c>
    </row>
    <row r="5" customFormat="false" ht="54.75" hidden="false" customHeight="true" outlineLevel="0" collapsed="false">
      <c r="A5" s="8" t="s">
        <v>3766</v>
      </c>
      <c r="B5" s="9" t="s">
        <v>3767</v>
      </c>
    </row>
    <row r="6" customFormat="false" ht="79.5" hidden="false" customHeight="true" outlineLevel="0" collapsed="false">
      <c r="A6" s="8" t="s">
        <v>3768</v>
      </c>
      <c r="B6" s="9" t="s">
        <v>3769</v>
      </c>
    </row>
    <row r="7" customFormat="false" ht="30" hidden="false" customHeight="true" outlineLevel="0" collapsed="false">
      <c r="A7" s="8" t="s">
        <v>3770</v>
      </c>
      <c r="B7" s="9" t="s">
        <v>3771</v>
      </c>
    </row>
    <row r="8" customFormat="false" ht="54.75" hidden="false" customHeight="true" outlineLevel="0" collapsed="false">
      <c r="A8" s="8" t="s">
        <v>3772</v>
      </c>
      <c r="B8" s="9" t="s">
        <v>3773</v>
      </c>
    </row>
    <row r="9" customFormat="false" ht="54.75" hidden="false" customHeight="true" outlineLevel="0" collapsed="false">
      <c r="A9" s="8" t="s">
        <v>3774</v>
      </c>
      <c r="B9" s="9" t="s">
        <v>3775</v>
      </c>
    </row>
  </sheetData>
  <mergeCells count="2">
    <mergeCell ref="A1:B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62"/>
    <col collapsed="false" customWidth="true" hidden="false" outlineLevel="0" max="3" min="3" style="1" width="46"/>
    <col collapsed="false" customWidth="true" hidden="false" outlineLevel="0" max="4" min="4" style="1" width="52"/>
  </cols>
  <sheetData>
    <row r="1" customFormat="false" ht="24" hidden="false" customHeight="true" outlineLevel="0" collapsed="false">
      <c r="A1" s="14" t="s">
        <v>3776</v>
      </c>
      <c r="B1" s="14"/>
      <c r="C1" s="14"/>
      <c r="D1" s="14"/>
    </row>
    <row r="2" customFormat="false" ht="30" hidden="false" customHeight="true" outlineLevel="0" collapsed="false">
      <c r="A2" s="3" t="s">
        <v>3777</v>
      </c>
      <c r="B2" s="3"/>
      <c r="C2" s="3"/>
      <c r="D2" s="3"/>
    </row>
    <row r="3" customFormat="false" ht="13.5" hidden="false" customHeight="true" outlineLevel="0" collapsed="false"/>
    <row r="4" customFormat="false" ht="30" hidden="false" customHeight="true" outlineLevel="0" collapsed="false">
      <c r="A4" s="15" t="s">
        <v>3778</v>
      </c>
      <c r="B4" s="15"/>
      <c r="C4" s="15"/>
      <c r="D4" s="15"/>
    </row>
    <row r="5" customFormat="false" ht="24" hidden="false" customHeight="true" outlineLevel="0" collapsed="false">
      <c r="A5" s="7" t="s">
        <v>3779</v>
      </c>
      <c r="B5" s="7" t="s">
        <v>2594</v>
      </c>
      <c r="C5" s="7" t="s">
        <v>3780</v>
      </c>
    </row>
    <row r="6" customFormat="false" ht="30" hidden="false" customHeight="true" outlineLevel="0" collapsed="false">
      <c r="A6" s="228" t="s">
        <v>3781</v>
      </c>
      <c r="B6" s="9" t="s">
        <v>3782</v>
      </c>
      <c r="C6" s="9" t="s">
        <v>3783</v>
      </c>
    </row>
    <row r="7" customFormat="false" ht="30" hidden="false" customHeight="true" outlineLevel="0" collapsed="false">
      <c r="A7" s="228" t="s">
        <v>3784</v>
      </c>
      <c r="B7" s="9" t="s">
        <v>3785</v>
      </c>
      <c r="C7" s="9" t="s">
        <v>3786</v>
      </c>
    </row>
    <row r="8" customFormat="false" ht="16.5" hidden="false" customHeight="true" outlineLevel="0" collapsed="false">
      <c r="A8" s="228" t="s">
        <v>3787</v>
      </c>
      <c r="B8" s="9" t="s">
        <v>3788</v>
      </c>
      <c r="C8" s="9" t="s">
        <v>3789</v>
      </c>
    </row>
    <row r="9" customFormat="false" ht="16.5" hidden="false" customHeight="true" outlineLevel="0" collapsed="false">
      <c r="A9" s="228" t="s">
        <v>3790</v>
      </c>
      <c r="B9" s="9" t="s">
        <v>3791</v>
      </c>
      <c r="C9" s="9" t="s">
        <v>3792</v>
      </c>
    </row>
    <row r="10" customFormat="false" ht="30" hidden="false" customHeight="true" outlineLevel="0" collapsed="false">
      <c r="A10" s="228" t="s">
        <v>3793</v>
      </c>
      <c r="B10" s="9" t="s">
        <v>3794</v>
      </c>
      <c r="C10" s="9" t="s">
        <v>3795</v>
      </c>
    </row>
    <row r="11" customFormat="false" ht="16.5" hidden="false" customHeight="true" outlineLevel="0" collapsed="false">
      <c r="A11" s="228" t="s">
        <v>3796</v>
      </c>
      <c r="B11" s="9" t="s">
        <v>3797</v>
      </c>
      <c r="C11" s="9" t="s">
        <v>3798</v>
      </c>
    </row>
    <row r="12" customFormat="false" ht="30" hidden="false" customHeight="true" outlineLevel="0" collapsed="false">
      <c r="A12" s="228" t="s">
        <v>3799</v>
      </c>
      <c r="B12" s="9" t="s">
        <v>3800</v>
      </c>
      <c r="C12" s="9" t="s">
        <v>3801</v>
      </c>
    </row>
    <row r="13" customFormat="false" ht="15" hidden="false" customHeight="true" outlineLevel="0" collapsed="false">
      <c r="A13" s="228" t="s">
        <v>3802</v>
      </c>
      <c r="B13" s="9" t="s">
        <v>3803</v>
      </c>
      <c r="C13" s="9" t="s">
        <v>3804</v>
      </c>
    </row>
    <row r="14" customFormat="false" ht="16.5" hidden="false" customHeight="true" outlineLevel="0" collapsed="false">
      <c r="A14" s="228" t="s">
        <v>3805</v>
      </c>
      <c r="B14" s="9" t="s">
        <v>3806</v>
      </c>
      <c r="C14" s="9" t="s">
        <v>3807</v>
      </c>
    </row>
    <row r="15" customFormat="false" ht="16.5" hidden="false" customHeight="true" outlineLevel="0" collapsed="false">
      <c r="A15" s="228" t="s">
        <v>3808</v>
      </c>
      <c r="B15" s="9" t="s">
        <v>3809</v>
      </c>
      <c r="C15" s="9" t="s">
        <v>3810</v>
      </c>
    </row>
    <row r="16" customFormat="false" ht="30" hidden="false" customHeight="true" outlineLevel="0" collapsed="false">
      <c r="A16" s="228" t="s">
        <v>3811</v>
      </c>
      <c r="B16" s="9" t="s">
        <v>3812</v>
      </c>
      <c r="C16" s="9" t="s">
        <v>3813</v>
      </c>
    </row>
    <row r="17" customFormat="false" ht="9.75" hidden="false" customHeight="true" outlineLevel="0" collapsed="false"/>
    <row r="18" customFormat="false" ht="16.5" hidden="false" customHeight="true" outlineLevel="0" collapsed="false">
      <c r="A18" s="15" t="s">
        <v>3814</v>
      </c>
      <c r="B18" s="15"/>
      <c r="C18" s="15"/>
      <c r="D18" s="15"/>
    </row>
    <row r="19" customFormat="false" ht="42" hidden="false" customHeight="true" outlineLevel="0" collapsed="false">
      <c r="A19" s="5" t="s">
        <v>3815</v>
      </c>
      <c r="B19" s="5"/>
      <c r="C19" s="5"/>
      <c r="D19" s="5"/>
    </row>
    <row r="20" customFormat="false" ht="9.75" hidden="false" customHeight="true" outlineLevel="0" collapsed="false"/>
    <row r="21" customFormat="false" ht="19.5" hidden="false" customHeight="true" outlineLevel="0" collapsed="false">
      <c r="A21" s="15" t="s">
        <v>3816</v>
      </c>
      <c r="B21" s="15"/>
      <c r="C21" s="15"/>
      <c r="D21" s="15"/>
    </row>
    <row r="22" customFormat="false" ht="24" hidden="false" customHeight="true" outlineLevel="0" collapsed="false">
      <c r="A22" s="7" t="s">
        <v>2414</v>
      </c>
      <c r="B22" s="7" t="s">
        <v>3817</v>
      </c>
      <c r="C22" s="7" t="s">
        <v>3818</v>
      </c>
    </row>
    <row r="23" customFormat="false" ht="16.5" hidden="false" customHeight="true" outlineLevel="0" collapsed="false">
      <c r="A23" s="228" t="s">
        <v>3819</v>
      </c>
      <c r="B23" s="9" t="s">
        <v>3820</v>
      </c>
      <c r="C23" s="9" t="s">
        <v>3821</v>
      </c>
    </row>
    <row r="24" customFormat="false" ht="16.5" hidden="false" customHeight="true" outlineLevel="0" collapsed="false">
      <c r="A24" s="228" t="s">
        <v>2419</v>
      </c>
      <c r="B24" s="9" t="s">
        <v>3822</v>
      </c>
      <c r="C24" s="9" t="s">
        <v>3821</v>
      </c>
    </row>
    <row r="25" customFormat="false" ht="16.5" hidden="false" customHeight="true" outlineLevel="0" collapsed="false">
      <c r="A25" s="228" t="s">
        <v>2421</v>
      </c>
      <c r="B25" s="9" t="s">
        <v>3823</v>
      </c>
      <c r="C25" s="9" t="s">
        <v>3821</v>
      </c>
    </row>
    <row r="26" customFormat="false" ht="15" hidden="false" customHeight="true" outlineLevel="0" collapsed="false">
      <c r="A26" s="228" t="s">
        <v>2417</v>
      </c>
      <c r="B26" s="9" t="s">
        <v>2418</v>
      </c>
      <c r="C26" s="9" t="s">
        <v>3821</v>
      </c>
    </row>
    <row r="27" customFormat="false" ht="15" hidden="false" customHeight="true" outlineLevel="0" collapsed="false">
      <c r="A27" s="228" t="s">
        <v>2423</v>
      </c>
      <c r="B27" s="9" t="s">
        <v>2424</v>
      </c>
      <c r="C27" s="9" t="s">
        <v>3821</v>
      </c>
    </row>
    <row r="28" customFormat="false" ht="16.5" hidden="false" customHeight="true" outlineLevel="0" collapsed="false">
      <c r="A28" s="228" t="s">
        <v>2766</v>
      </c>
      <c r="B28" s="9" t="s">
        <v>3824</v>
      </c>
      <c r="C28" s="9" t="s">
        <v>3821</v>
      </c>
    </row>
    <row r="29" customFormat="false" ht="15" hidden="false" customHeight="true" outlineLevel="0" collapsed="false">
      <c r="A29" s="228" t="s">
        <v>2426</v>
      </c>
      <c r="B29" s="9" t="s">
        <v>2654</v>
      </c>
      <c r="C29" s="9" t="s">
        <v>3821</v>
      </c>
    </row>
    <row r="30" customFormat="false" ht="16.5" hidden="false" customHeight="true" outlineLevel="0" collapsed="false">
      <c r="A30" s="228" t="s">
        <v>2425</v>
      </c>
      <c r="B30" s="9" t="s">
        <v>2769</v>
      </c>
      <c r="C30" s="9" t="s">
        <v>3821</v>
      </c>
    </row>
    <row r="31" customFormat="false" ht="16.5" hidden="false" customHeight="true" outlineLevel="0" collapsed="false">
      <c r="A31" s="228" t="s">
        <v>3825</v>
      </c>
      <c r="B31" s="9" t="s">
        <v>3826</v>
      </c>
      <c r="C31" s="9" t="s">
        <v>3827</v>
      </c>
    </row>
    <row r="32" customFormat="false" ht="16.5" hidden="false" customHeight="true" outlineLevel="0" collapsed="false">
      <c r="A32" s="228" t="s">
        <v>3828</v>
      </c>
      <c r="B32" s="9" t="s">
        <v>3829</v>
      </c>
      <c r="C32" s="9" t="s">
        <v>3827</v>
      </c>
    </row>
    <row r="33" customFormat="false" ht="16.5" hidden="false" customHeight="true" outlineLevel="0" collapsed="false">
      <c r="A33" s="228" t="s">
        <v>3830</v>
      </c>
      <c r="B33" s="9" t="s">
        <v>3831</v>
      </c>
      <c r="C33" s="9" t="s">
        <v>3827</v>
      </c>
    </row>
    <row r="34" customFormat="false" ht="16.5" hidden="false" customHeight="true" outlineLevel="0" collapsed="false">
      <c r="A34" s="228" t="s">
        <v>3832</v>
      </c>
      <c r="B34" s="9" t="s">
        <v>3833</v>
      </c>
      <c r="C34" s="9" t="s">
        <v>3827</v>
      </c>
    </row>
    <row r="35" customFormat="false" ht="30" hidden="false" customHeight="true" outlineLevel="0" collapsed="false">
      <c r="A35" s="228" t="s">
        <v>3834</v>
      </c>
      <c r="B35" s="9" t="s">
        <v>3835</v>
      </c>
      <c r="C35" s="9" t="s">
        <v>3836</v>
      </c>
    </row>
    <row r="36" customFormat="false" ht="16.5" hidden="false" customHeight="true" outlineLevel="0" collapsed="false">
      <c r="A36" s="228" t="s">
        <v>3837</v>
      </c>
      <c r="B36" s="9" t="s">
        <v>3838</v>
      </c>
      <c r="C36" s="9" t="s">
        <v>3836</v>
      </c>
    </row>
    <row r="37" customFormat="false" ht="30" hidden="false" customHeight="true" outlineLevel="0" collapsed="false">
      <c r="A37" s="228" t="s">
        <v>3839</v>
      </c>
      <c r="B37" s="9" t="s">
        <v>3840</v>
      </c>
      <c r="C37" s="9" t="s">
        <v>2821</v>
      </c>
    </row>
    <row r="38" customFormat="false" ht="30" hidden="false" customHeight="true" outlineLevel="0" collapsed="false">
      <c r="A38" s="228" t="s">
        <v>3841</v>
      </c>
      <c r="B38" s="9" t="s">
        <v>3842</v>
      </c>
      <c r="C38" s="9" t="s">
        <v>2821</v>
      </c>
    </row>
    <row r="39" customFormat="false" ht="30" hidden="false" customHeight="true" outlineLevel="0" collapsed="false">
      <c r="A39" s="228" t="s">
        <v>3843</v>
      </c>
      <c r="B39" s="9" t="s">
        <v>3844</v>
      </c>
      <c r="C39" s="9" t="s">
        <v>3845</v>
      </c>
    </row>
    <row r="40" customFormat="false" ht="30" hidden="false" customHeight="true" outlineLevel="0" collapsed="false">
      <c r="A40" s="228" t="s">
        <v>3846</v>
      </c>
      <c r="B40" s="9" t="s">
        <v>3847</v>
      </c>
      <c r="C40" s="9" t="s">
        <v>3845</v>
      </c>
    </row>
    <row r="41" customFormat="false" ht="9.75" hidden="false" customHeight="true" outlineLevel="0" collapsed="false"/>
    <row r="42" customFormat="false" ht="16.5" hidden="false" customHeight="true" outlineLevel="0" collapsed="false">
      <c r="A42" s="15" t="s">
        <v>3848</v>
      </c>
      <c r="B42" s="15"/>
      <c r="C42" s="15"/>
      <c r="D42" s="15"/>
    </row>
    <row r="43" customFormat="false" ht="24" hidden="false" customHeight="true" outlineLevel="0" collapsed="false">
      <c r="A43" s="7" t="s">
        <v>3849</v>
      </c>
      <c r="B43" s="7" t="s">
        <v>3850</v>
      </c>
      <c r="C43" s="7" t="s">
        <v>2594</v>
      </c>
      <c r="D43" s="7" t="s">
        <v>3851</v>
      </c>
    </row>
    <row r="44" customFormat="false" ht="30" hidden="false" customHeight="true" outlineLevel="0" collapsed="false">
      <c r="A44" s="9" t="s">
        <v>3852</v>
      </c>
      <c r="B44" s="228" t="s">
        <v>3853</v>
      </c>
      <c r="C44" s="9" t="s">
        <v>3854</v>
      </c>
      <c r="D44" s="9" t="s">
        <v>3855</v>
      </c>
    </row>
    <row r="45" customFormat="false" ht="30" hidden="false" customHeight="true" outlineLevel="0" collapsed="false">
      <c r="A45" s="9" t="s">
        <v>3852</v>
      </c>
      <c r="B45" s="228" t="s">
        <v>3856</v>
      </c>
      <c r="C45" s="9" t="s">
        <v>3857</v>
      </c>
      <c r="D45" s="9" t="s">
        <v>3858</v>
      </c>
    </row>
    <row r="46" customFormat="false" ht="30" hidden="false" customHeight="true" outlineLevel="0" collapsed="false">
      <c r="A46" s="9" t="s">
        <v>3852</v>
      </c>
      <c r="B46" s="228" t="s">
        <v>3859</v>
      </c>
      <c r="C46" s="9" t="s">
        <v>3860</v>
      </c>
      <c r="D46" s="9" t="s">
        <v>3861</v>
      </c>
    </row>
    <row r="47" customFormat="false" ht="30" hidden="false" customHeight="true" outlineLevel="0" collapsed="false">
      <c r="A47" s="9" t="s">
        <v>3852</v>
      </c>
      <c r="B47" s="228" t="s">
        <v>3862</v>
      </c>
      <c r="C47" s="9" t="s">
        <v>3863</v>
      </c>
      <c r="D47" s="9" t="s">
        <v>3864</v>
      </c>
    </row>
    <row r="48" customFormat="false" ht="30" hidden="false" customHeight="true" outlineLevel="0" collapsed="false">
      <c r="A48" s="9" t="s">
        <v>3852</v>
      </c>
      <c r="B48" s="228" t="s">
        <v>3865</v>
      </c>
      <c r="C48" s="9" t="s">
        <v>3866</v>
      </c>
      <c r="D48" s="9" t="s">
        <v>3864</v>
      </c>
    </row>
    <row r="49" customFormat="false" ht="30" hidden="false" customHeight="true" outlineLevel="0" collapsed="false">
      <c r="A49" s="9" t="s">
        <v>3852</v>
      </c>
      <c r="B49" s="228" t="s">
        <v>3867</v>
      </c>
      <c r="C49" s="9" t="s">
        <v>3868</v>
      </c>
      <c r="D49" s="9" t="s">
        <v>3864</v>
      </c>
    </row>
    <row r="50" customFormat="false" ht="30" hidden="false" customHeight="true" outlineLevel="0" collapsed="false">
      <c r="A50" s="9" t="s">
        <v>3852</v>
      </c>
      <c r="B50" s="228" t="s">
        <v>3869</v>
      </c>
      <c r="C50" s="9" t="s">
        <v>3870</v>
      </c>
      <c r="D50" s="9" t="s">
        <v>3871</v>
      </c>
    </row>
    <row r="51" customFormat="false" ht="30" hidden="false" customHeight="true" outlineLevel="0" collapsed="false">
      <c r="A51" s="9" t="s">
        <v>3852</v>
      </c>
      <c r="B51" s="228" t="s">
        <v>3872</v>
      </c>
      <c r="C51" s="9" t="s">
        <v>3873</v>
      </c>
      <c r="D51" s="9" t="s">
        <v>3874</v>
      </c>
    </row>
    <row r="52" customFormat="false" ht="30" hidden="false" customHeight="true" outlineLevel="0" collapsed="false">
      <c r="A52" s="9" t="s">
        <v>3875</v>
      </c>
      <c r="B52" s="228" t="s">
        <v>56</v>
      </c>
      <c r="C52" s="9" t="s">
        <v>3876</v>
      </c>
      <c r="D52" s="9" t="s">
        <v>3877</v>
      </c>
    </row>
    <row r="53" customFormat="false" ht="16.5" hidden="false" customHeight="true" outlineLevel="0" collapsed="false">
      <c r="A53" s="9" t="s">
        <v>3875</v>
      </c>
      <c r="B53" s="228" t="s">
        <v>58</v>
      </c>
      <c r="C53" s="9" t="s">
        <v>3878</v>
      </c>
      <c r="D53" s="9" t="s">
        <v>3879</v>
      </c>
    </row>
    <row r="54" customFormat="false" ht="16.5" hidden="false" customHeight="true" outlineLevel="0" collapsed="false">
      <c r="A54" s="9" t="s">
        <v>3875</v>
      </c>
      <c r="B54" s="228" t="s">
        <v>216</v>
      </c>
      <c r="C54" s="9" t="s">
        <v>3880</v>
      </c>
      <c r="D54" s="9" t="s">
        <v>3879</v>
      </c>
    </row>
    <row r="55" customFormat="false" ht="16.5" hidden="false" customHeight="true" outlineLevel="0" collapsed="false">
      <c r="A55" s="9" t="s">
        <v>3875</v>
      </c>
      <c r="B55" s="228" t="s">
        <v>3881</v>
      </c>
      <c r="C55" s="9" t="s">
        <v>3882</v>
      </c>
      <c r="D55" s="9" t="s">
        <v>3883</v>
      </c>
    </row>
    <row r="56" customFormat="false" ht="30" hidden="false" customHeight="true" outlineLevel="0" collapsed="false">
      <c r="A56" s="5" t="s">
        <v>3884</v>
      </c>
      <c r="B56" s="5"/>
      <c r="C56" s="5"/>
      <c r="D56" s="5"/>
    </row>
    <row r="57" customFormat="false" ht="9.75" hidden="false" customHeight="true" outlineLevel="0" collapsed="false"/>
    <row r="58" customFormat="false" ht="19.5" hidden="false" customHeight="true" outlineLevel="0" collapsed="false">
      <c r="A58" s="15" t="s">
        <v>3885</v>
      </c>
      <c r="B58" s="15"/>
      <c r="C58" s="15"/>
      <c r="D58" s="15"/>
    </row>
    <row r="59" customFormat="false" ht="42" hidden="false" customHeight="true" outlineLevel="0" collapsed="false">
      <c r="A59" s="5" t="s">
        <v>3886</v>
      </c>
      <c r="B59" s="5"/>
      <c r="C59" s="5"/>
      <c r="D59" s="5"/>
    </row>
    <row r="60" customFormat="false" ht="9.75" hidden="false" customHeight="true" outlineLevel="0" collapsed="false"/>
    <row r="61" customFormat="false" ht="16.5" hidden="false" customHeight="true" outlineLevel="0" collapsed="false">
      <c r="A61" s="15" t="s">
        <v>3887</v>
      </c>
      <c r="B61" s="15"/>
      <c r="C61" s="15"/>
      <c r="D61" s="15"/>
    </row>
    <row r="62" customFormat="false" ht="54.75" hidden="false" customHeight="true" outlineLevel="0" collapsed="false">
      <c r="A62" s="5" t="s">
        <v>3888</v>
      </c>
      <c r="B62" s="5"/>
      <c r="C62" s="5"/>
      <c r="D62" s="5"/>
    </row>
    <row r="63" customFormat="false" ht="9.75" hidden="false" customHeight="true" outlineLevel="0" collapsed="false"/>
    <row r="64" customFormat="false" ht="16.5" hidden="false" customHeight="true" outlineLevel="0" collapsed="false">
      <c r="A64" s="15" t="s">
        <v>3889</v>
      </c>
      <c r="B64" s="15"/>
      <c r="C64" s="15"/>
      <c r="D64" s="15"/>
    </row>
    <row r="65" customFormat="false" ht="24" hidden="false" customHeight="true" outlineLevel="0" collapsed="false">
      <c r="A65" s="7" t="s">
        <v>3850</v>
      </c>
      <c r="B65" s="7" t="s">
        <v>2594</v>
      </c>
      <c r="C65" s="7" t="s">
        <v>3890</v>
      </c>
    </row>
    <row r="66" customFormat="false" ht="30" hidden="false" customHeight="true" outlineLevel="0" collapsed="false">
      <c r="A66" s="228" t="s">
        <v>3891</v>
      </c>
      <c r="B66" s="9" t="s">
        <v>3892</v>
      </c>
      <c r="C66" s="9" t="s">
        <v>3893</v>
      </c>
    </row>
    <row r="67" customFormat="false" ht="16.5" hidden="false" customHeight="true" outlineLevel="0" collapsed="false">
      <c r="A67" s="228" t="s">
        <v>3894</v>
      </c>
      <c r="B67" s="9" t="s">
        <v>3895</v>
      </c>
      <c r="C67" s="9" t="s">
        <v>3896</v>
      </c>
    </row>
    <row r="68" customFormat="false" ht="16.5" hidden="false" customHeight="true" outlineLevel="0" collapsed="false">
      <c r="A68" s="228" t="s">
        <v>3897</v>
      </c>
      <c r="B68" s="9" t="s">
        <v>3898</v>
      </c>
      <c r="C68" s="9" t="s">
        <v>3899</v>
      </c>
    </row>
    <row r="69" customFormat="false" ht="16.5" hidden="false" customHeight="true" outlineLevel="0" collapsed="false">
      <c r="A69" s="228" t="s">
        <v>3900</v>
      </c>
      <c r="B69" s="9" t="s">
        <v>3901</v>
      </c>
      <c r="C69" s="9" t="s">
        <v>3899</v>
      </c>
    </row>
    <row r="70" customFormat="false" ht="30" hidden="false" customHeight="true" outlineLevel="0" collapsed="false">
      <c r="A70" s="228" t="s">
        <v>3902</v>
      </c>
      <c r="B70" s="9" t="s">
        <v>3903</v>
      </c>
      <c r="C70" s="9" t="s">
        <v>3904</v>
      </c>
    </row>
    <row r="71" customFormat="false" ht="30" hidden="false" customHeight="true" outlineLevel="0" collapsed="false">
      <c r="A71" s="228" t="s">
        <v>3905</v>
      </c>
      <c r="B71" s="9" t="s">
        <v>3906</v>
      </c>
      <c r="C71" s="9" t="s">
        <v>3907</v>
      </c>
    </row>
    <row r="72" customFormat="false" ht="9.75" hidden="false" customHeight="true" outlineLevel="0" collapsed="false"/>
    <row r="73" customFormat="false" ht="19.5" hidden="false" customHeight="true" outlineLevel="0" collapsed="false">
      <c r="A73" s="15" t="s">
        <v>3908</v>
      </c>
      <c r="B73" s="15"/>
      <c r="C73" s="15"/>
      <c r="D73" s="15"/>
    </row>
    <row r="74" customFormat="false" ht="42" hidden="false" customHeight="true" outlineLevel="0" collapsed="false">
      <c r="A74" s="5" t="s">
        <v>3909</v>
      </c>
      <c r="B74" s="5"/>
      <c r="C74" s="5"/>
      <c r="D74" s="5"/>
    </row>
  </sheetData>
  <mergeCells count="15">
    <mergeCell ref="A1:D1"/>
    <mergeCell ref="A2:D2"/>
    <mergeCell ref="A4:D4"/>
    <mergeCell ref="A18:D18"/>
    <mergeCell ref="A19:D19"/>
    <mergeCell ref="A21:D21"/>
    <mergeCell ref="A42:D42"/>
    <mergeCell ref="A56:D56"/>
    <mergeCell ref="A58:D58"/>
    <mergeCell ref="A59:D59"/>
    <mergeCell ref="A61:D61"/>
    <mergeCell ref="A62:D62"/>
    <mergeCell ref="A64:D64"/>
    <mergeCell ref="A73:D73"/>
    <mergeCell ref="A74:D7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5"/>
    <col collapsed="false" customWidth="true" hidden="false" outlineLevel="0" max="3" min="3" style="1" width="22"/>
    <col collapsed="false" customWidth="true" hidden="false" outlineLevel="0" max="4" min="4" style="1" width="40"/>
    <col collapsed="false" customWidth="true" hidden="false" outlineLevel="0" max="5" min="5" style="1" width="34"/>
    <col collapsed="false" customWidth="true" hidden="false" outlineLevel="0" max="6" min="6" style="1" width="24"/>
    <col collapsed="false" customWidth="true" hidden="false" outlineLevel="0" max="7" min="7" style="1" width="20"/>
    <col collapsed="false" customWidth="true" hidden="false" outlineLevel="0" max="8" min="8" style="1" width="52"/>
  </cols>
  <sheetData>
    <row r="1" customFormat="false" ht="24" hidden="false" customHeight="true" outlineLevel="0" collapsed="false">
      <c r="A1" s="14" t="s">
        <v>3910</v>
      </c>
      <c r="B1" s="14"/>
      <c r="C1" s="14"/>
      <c r="D1" s="14"/>
      <c r="E1" s="14"/>
      <c r="F1" s="14"/>
      <c r="G1" s="14"/>
      <c r="H1" s="14"/>
    </row>
    <row r="2" customFormat="false" ht="30" hidden="false" customHeight="true" outlineLevel="0" collapsed="false">
      <c r="A2" s="3" t="s">
        <v>3911</v>
      </c>
      <c r="B2" s="3"/>
      <c r="C2" s="3"/>
      <c r="D2" s="3"/>
      <c r="E2" s="3"/>
      <c r="F2" s="3"/>
      <c r="G2" s="3"/>
      <c r="H2" s="3"/>
    </row>
    <row r="3" customFormat="false" ht="13.5" hidden="false" customHeight="true" outlineLevel="0" collapsed="false"/>
    <row r="4" customFormat="false" ht="24" hidden="false" customHeight="true" outlineLevel="0" collapsed="false">
      <c r="A4" s="7" t="s">
        <v>3912</v>
      </c>
      <c r="B4" s="7" t="s">
        <v>1429</v>
      </c>
      <c r="C4" s="7" t="s">
        <v>724</v>
      </c>
      <c r="D4" s="7" t="s">
        <v>3913</v>
      </c>
      <c r="E4" s="7" t="s">
        <v>3914</v>
      </c>
      <c r="F4" s="7" t="s">
        <v>3915</v>
      </c>
      <c r="G4" s="7" t="s">
        <v>3916</v>
      </c>
      <c r="H4" s="7" t="s">
        <v>3917</v>
      </c>
    </row>
    <row r="5" customFormat="false" ht="42" hidden="false" customHeight="true" outlineLevel="0" collapsed="false">
      <c r="A5" s="9" t="s">
        <v>3918</v>
      </c>
      <c r="B5" s="9" t="s">
        <v>3919</v>
      </c>
      <c r="C5" s="9" t="s">
        <v>3920</v>
      </c>
      <c r="D5" s="9" t="s">
        <v>3921</v>
      </c>
      <c r="E5" s="9" t="s">
        <v>3922</v>
      </c>
      <c r="F5" s="9" t="s">
        <v>3923</v>
      </c>
      <c r="G5" s="9" t="s">
        <v>3924</v>
      </c>
      <c r="H5" s="9" t="s">
        <v>3925</v>
      </c>
    </row>
    <row r="6" customFormat="false" ht="30" hidden="false" customHeight="true" outlineLevel="0" collapsed="false">
      <c r="A6" s="9" t="s">
        <v>3926</v>
      </c>
      <c r="B6" s="9" t="s">
        <v>3919</v>
      </c>
      <c r="C6" s="9" t="s">
        <v>3927</v>
      </c>
      <c r="D6" s="9" t="s">
        <v>3928</v>
      </c>
      <c r="E6" s="9" t="s">
        <v>3929</v>
      </c>
      <c r="F6" s="9" t="s">
        <v>590</v>
      </c>
      <c r="G6" s="9" t="s">
        <v>741</v>
      </c>
      <c r="H6" s="9" t="s">
        <v>3930</v>
      </c>
    </row>
    <row r="7" customFormat="false" ht="30" hidden="false" customHeight="true" outlineLevel="0" collapsed="false">
      <c r="A7" s="9" t="s">
        <v>3931</v>
      </c>
      <c r="B7" s="9" t="s">
        <v>3919</v>
      </c>
      <c r="C7" s="9" t="s">
        <v>3932</v>
      </c>
      <c r="D7" s="9" t="s">
        <v>3933</v>
      </c>
      <c r="E7" s="9" t="s">
        <v>590</v>
      </c>
      <c r="F7" s="9" t="s">
        <v>3934</v>
      </c>
      <c r="G7" s="9" t="s">
        <v>3935</v>
      </c>
      <c r="H7" s="9" t="s">
        <v>3936</v>
      </c>
    </row>
    <row r="8" customFormat="false" ht="67.5" hidden="false" customHeight="true" outlineLevel="0" collapsed="false">
      <c r="A8" s="9" t="s">
        <v>3937</v>
      </c>
      <c r="B8" s="9" t="s">
        <v>3919</v>
      </c>
      <c r="C8" s="9" t="s">
        <v>3938</v>
      </c>
      <c r="D8" s="9" t="s">
        <v>3939</v>
      </c>
      <c r="E8" s="9" t="s">
        <v>528</v>
      </c>
      <c r="F8" s="9" t="s">
        <v>3940</v>
      </c>
      <c r="G8" s="9" t="s">
        <v>3941</v>
      </c>
      <c r="H8" s="9" t="s">
        <v>3942</v>
      </c>
    </row>
    <row r="9" customFormat="false" ht="30" hidden="false" customHeight="true" outlineLevel="0" collapsed="false">
      <c r="A9" s="9" t="s">
        <v>3943</v>
      </c>
      <c r="B9" s="9" t="s">
        <v>3944</v>
      </c>
      <c r="C9" s="9" t="s">
        <v>3945</v>
      </c>
      <c r="D9" s="9" t="s">
        <v>3946</v>
      </c>
      <c r="E9" s="9" t="s">
        <v>3947</v>
      </c>
      <c r="F9" s="9" t="s">
        <v>3948</v>
      </c>
      <c r="G9" s="9" t="s">
        <v>3949</v>
      </c>
      <c r="H9" s="9" t="s">
        <v>3950</v>
      </c>
    </row>
    <row r="10" customFormat="false" ht="30" hidden="false" customHeight="true" outlineLevel="0" collapsed="false">
      <c r="A10" s="9" t="s">
        <v>3951</v>
      </c>
      <c r="B10" s="9" t="s">
        <v>3952</v>
      </c>
      <c r="C10" s="9" t="s">
        <v>3953</v>
      </c>
      <c r="D10" s="9" t="s">
        <v>3954</v>
      </c>
      <c r="E10" s="9" t="s">
        <v>3955</v>
      </c>
      <c r="F10" s="9" t="s">
        <v>3956</v>
      </c>
      <c r="G10" s="9" t="s">
        <v>3957</v>
      </c>
      <c r="H10" s="9" t="s">
        <v>3958</v>
      </c>
    </row>
    <row r="11" customFormat="false" ht="30" hidden="false" customHeight="true" outlineLevel="0" collapsed="false">
      <c r="A11" s="9" t="s">
        <v>3959</v>
      </c>
      <c r="B11" s="9" t="s">
        <v>3952</v>
      </c>
      <c r="C11" s="9" t="s">
        <v>3960</v>
      </c>
      <c r="D11" s="9" t="s">
        <v>3961</v>
      </c>
      <c r="E11" s="9" t="s">
        <v>3962</v>
      </c>
      <c r="F11" s="9" t="s">
        <v>3963</v>
      </c>
      <c r="G11" s="9" t="s">
        <v>3964</v>
      </c>
      <c r="H11" s="9" t="s">
        <v>3965</v>
      </c>
    </row>
    <row r="12" customFormat="false" ht="30" hidden="false" customHeight="true" outlineLevel="0" collapsed="false">
      <c r="A12" s="9" t="s">
        <v>602</v>
      </c>
      <c r="B12" s="9" t="s">
        <v>1495</v>
      </c>
      <c r="C12" s="9" t="s">
        <v>3966</v>
      </c>
      <c r="D12" s="9" t="s">
        <v>3967</v>
      </c>
      <c r="E12" s="9" t="s">
        <v>3968</v>
      </c>
      <c r="F12" s="9" t="s">
        <v>3969</v>
      </c>
      <c r="G12" s="9" t="s">
        <v>806</v>
      </c>
      <c r="H12" s="9" t="s">
        <v>3970</v>
      </c>
    </row>
    <row r="13" customFormat="false" ht="30" hidden="false" customHeight="true" outlineLevel="0" collapsed="false">
      <c r="A13" s="9" t="s">
        <v>3971</v>
      </c>
      <c r="B13" s="9" t="s">
        <v>1495</v>
      </c>
      <c r="C13" s="9" t="s">
        <v>3972</v>
      </c>
      <c r="D13" s="9" t="s">
        <v>3973</v>
      </c>
      <c r="E13" s="9" t="s">
        <v>3974</v>
      </c>
      <c r="F13" s="9" t="s">
        <v>3975</v>
      </c>
      <c r="G13" s="9" t="s">
        <v>741</v>
      </c>
      <c r="H13" s="9" t="s">
        <v>3976</v>
      </c>
    </row>
    <row r="14" customFormat="false" ht="16.5" hidden="false" customHeight="true" outlineLevel="0" collapsed="false">
      <c r="A14" s="9" t="s">
        <v>3977</v>
      </c>
      <c r="B14" s="9" t="s">
        <v>1495</v>
      </c>
      <c r="C14" s="9" t="s">
        <v>3978</v>
      </c>
      <c r="D14" s="9" t="s">
        <v>3979</v>
      </c>
      <c r="E14" s="9" t="s">
        <v>3980</v>
      </c>
      <c r="F14" s="9" t="s">
        <v>3981</v>
      </c>
      <c r="G14" s="9" t="s">
        <v>1811</v>
      </c>
      <c r="H14" s="9" t="s">
        <v>3982</v>
      </c>
    </row>
    <row r="15" customFormat="false" ht="30" hidden="false" customHeight="true" outlineLevel="0" collapsed="false">
      <c r="A15" s="9" t="s">
        <v>3983</v>
      </c>
      <c r="B15" s="9" t="s">
        <v>1495</v>
      </c>
      <c r="C15" s="9" t="s">
        <v>3984</v>
      </c>
      <c r="D15" s="9" t="s">
        <v>3985</v>
      </c>
      <c r="E15" s="9" t="s">
        <v>3986</v>
      </c>
      <c r="F15" s="9" t="s">
        <v>3987</v>
      </c>
      <c r="G15" s="9" t="s">
        <v>1503</v>
      </c>
      <c r="H15" s="9" t="s">
        <v>3988</v>
      </c>
    </row>
    <row r="16" customFormat="false" ht="30" hidden="false" customHeight="true" outlineLevel="0" collapsed="false">
      <c r="A16" s="9" t="s">
        <v>3989</v>
      </c>
      <c r="B16" s="9" t="s">
        <v>1495</v>
      </c>
      <c r="C16" s="9" t="s">
        <v>3990</v>
      </c>
      <c r="D16" s="9" t="s">
        <v>3991</v>
      </c>
      <c r="E16" s="9" t="s">
        <v>3992</v>
      </c>
      <c r="F16" s="9" t="s">
        <v>3975</v>
      </c>
      <c r="G16" s="9" t="s">
        <v>3993</v>
      </c>
      <c r="H16" s="9" t="s">
        <v>3994</v>
      </c>
    </row>
    <row r="17" customFormat="false" ht="30" hidden="false" customHeight="true" outlineLevel="0" collapsed="false">
      <c r="A17" s="9" t="s">
        <v>3995</v>
      </c>
      <c r="B17" s="9" t="s">
        <v>1495</v>
      </c>
      <c r="C17" s="9" t="s">
        <v>3996</v>
      </c>
      <c r="D17" s="9" t="s">
        <v>3997</v>
      </c>
      <c r="E17" s="9" t="s">
        <v>3992</v>
      </c>
      <c r="F17" s="9" t="s">
        <v>3998</v>
      </c>
      <c r="G17" s="9" t="s">
        <v>3225</v>
      </c>
      <c r="H17" s="9" t="s">
        <v>3999</v>
      </c>
    </row>
    <row r="18" customFormat="false" ht="30" hidden="false" customHeight="true" outlineLevel="0" collapsed="false">
      <c r="A18" s="9" t="s">
        <v>4000</v>
      </c>
      <c r="B18" s="9" t="s">
        <v>4001</v>
      </c>
      <c r="C18" s="9" t="s">
        <v>4002</v>
      </c>
      <c r="D18" s="9" t="s">
        <v>4003</v>
      </c>
      <c r="E18" s="9" t="s">
        <v>4004</v>
      </c>
      <c r="F18" s="9" t="s">
        <v>4005</v>
      </c>
      <c r="G18" s="9" t="s">
        <v>4006</v>
      </c>
      <c r="H18" s="9" t="s">
        <v>4007</v>
      </c>
    </row>
    <row r="19" customFormat="false" ht="30" hidden="false" customHeight="true" outlineLevel="0" collapsed="false">
      <c r="A19" s="9" t="s">
        <v>4008</v>
      </c>
      <c r="B19" s="9" t="s">
        <v>4009</v>
      </c>
      <c r="C19" s="9" t="s">
        <v>3791</v>
      </c>
      <c r="D19" s="9" t="s">
        <v>4010</v>
      </c>
      <c r="E19" s="9" t="s">
        <v>4011</v>
      </c>
      <c r="F19" s="9" t="s">
        <v>4012</v>
      </c>
      <c r="G19" s="9" t="s">
        <v>1675</v>
      </c>
      <c r="H19" s="9" t="s">
        <v>4013</v>
      </c>
    </row>
    <row r="20" customFormat="false" ht="30" hidden="false" customHeight="true" outlineLevel="0" collapsed="false">
      <c r="A20" s="9" t="s">
        <v>4014</v>
      </c>
      <c r="B20" s="9" t="s">
        <v>4015</v>
      </c>
      <c r="C20" s="9" t="s">
        <v>4016</v>
      </c>
      <c r="D20" s="9" t="s">
        <v>4017</v>
      </c>
      <c r="E20" s="9" t="s">
        <v>4018</v>
      </c>
      <c r="F20" s="9" t="s">
        <v>4019</v>
      </c>
      <c r="G20" s="9" t="s">
        <v>4020</v>
      </c>
      <c r="H20" s="9" t="s">
        <v>4021</v>
      </c>
    </row>
    <row r="21" customFormat="false" ht="30" hidden="false" customHeight="true" outlineLevel="0" collapsed="false">
      <c r="A21" s="9" t="s">
        <v>4022</v>
      </c>
      <c r="B21" s="9" t="s">
        <v>1495</v>
      </c>
      <c r="C21" s="9" t="s">
        <v>4023</v>
      </c>
      <c r="D21" s="9" t="s">
        <v>4024</v>
      </c>
      <c r="E21" s="9" t="s">
        <v>4025</v>
      </c>
      <c r="F21" s="9" t="s">
        <v>4026</v>
      </c>
      <c r="G21" s="9" t="s">
        <v>4027</v>
      </c>
      <c r="H21" s="9" t="s">
        <v>4028</v>
      </c>
    </row>
    <row r="22" customFormat="false" ht="30" hidden="false" customHeight="true" outlineLevel="0" collapsed="false">
      <c r="A22" s="9" t="s">
        <v>4029</v>
      </c>
      <c r="B22" s="9" t="s">
        <v>4030</v>
      </c>
      <c r="C22" s="9" t="s">
        <v>4031</v>
      </c>
      <c r="D22" s="9" t="s">
        <v>4032</v>
      </c>
      <c r="E22" s="9" t="s">
        <v>4033</v>
      </c>
      <c r="F22" s="9" t="s">
        <v>4034</v>
      </c>
      <c r="G22" s="9" t="s">
        <v>4035</v>
      </c>
      <c r="H22" s="9" t="s">
        <v>4036</v>
      </c>
    </row>
    <row r="23" customFormat="false" ht="16.5" hidden="false" customHeight="true" outlineLevel="0" collapsed="false">
      <c r="A23" s="9" t="s">
        <v>4037</v>
      </c>
      <c r="B23" s="9" t="s">
        <v>4038</v>
      </c>
      <c r="C23" s="9" t="s">
        <v>4039</v>
      </c>
      <c r="D23" s="9" t="s">
        <v>4040</v>
      </c>
      <c r="E23" s="9" t="s">
        <v>528</v>
      </c>
      <c r="F23" s="9" t="s">
        <v>3975</v>
      </c>
      <c r="G23" s="9" t="s">
        <v>1779</v>
      </c>
      <c r="H23" s="9" t="s">
        <v>4041</v>
      </c>
    </row>
    <row r="24" customFormat="false" ht="16.5" hidden="false" customHeight="true" outlineLevel="0" collapsed="false">
      <c r="A24" s="9" t="s">
        <v>4042</v>
      </c>
      <c r="B24" s="9" t="s">
        <v>4043</v>
      </c>
      <c r="C24" s="9" t="s">
        <v>4044</v>
      </c>
      <c r="D24" s="9" t="s">
        <v>4045</v>
      </c>
      <c r="E24" s="9" t="s">
        <v>528</v>
      </c>
      <c r="F24" s="9" t="s">
        <v>3975</v>
      </c>
      <c r="G24" s="9" t="s">
        <v>906</v>
      </c>
      <c r="H24" s="9" t="s">
        <v>4046</v>
      </c>
    </row>
    <row r="25" customFormat="false" ht="30" hidden="false" customHeight="true" outlineLevel="0" collapsed="false">
      <c r="A25" s="9" t="s">
        <v>4047</v>
      </c>
      <c r="B25" s="9" t="s">
        <v>4048</v>
      </c>
      <c r="C25" s="9" t="s">
        <v>4049</v>
      </c>
      <c r="D25" s="9" t="s">
        <v>4050</v>
      </c>
      <c r="E25" s="9" t="s">
        <v>4051</v>
      </c>
      <c r="F25" s="9" t="s">
        <v>3975</v>
      </c>
      <c r="G25" s="9" t="s">
        <v>1811</v>
      </c>
      <c r="H25" s="9" t="s">
        <v>4052</v>
      </c>
    </row>
    <row r="26" customFormat="false" ht="9.75" hidden="false" customHeight="true" outlineLevel="0" collapsed="false"/>
    <row r="27" customFormat="false" ht="30" hidden="false" customHeight="true" outlineLevel="0" collapsed="false">
      <c r="A27" s="5" t="s">
        <v>4053</v>
      </c>
      <c r="B27" s="5"/>
      <c r="C27" s="5"/>
      <c r="D27" s="5"/>
      <c r="E27" s="5"/>
      <c r="F27" s="5"/>
      <c r="G27" s="5"/>
      <c r="H27" s="5"/>
    </row>
    <row r="28" customFormat="false" ht="9.75" hidden="false" customHeight="true" outlineLevel="0" collapsed="false"/>
    <row r="29" customFormat="false" ht="30" hidden="false" customHeight="true" outlineLevel="0" collapsed="false">
      <c r="A29" s="5" t="s">
        <v>4054</v>
      </c>
      <c r="B29" s="5"/>
      <c r="C29" s="5"/>
      <c r="D29" s="5"/>
      <c r="E29" s="5"/>
      <c r="F29" s="5"/>
      <c r="G29" s="5"/>
      <c r="H29" s="5"/>
    </row>
  </sheetData>
  <mergeCells count="4">
    <mergeCell ref="A1:H1"/>
    <mergeCell ref="A2:H2"/>
    <mergeCell ref="A27:H27"/>
    <mergeCell ref="A29:H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14"/>
    <col collapsed="false" customWidth="true" hidden="false" outlineLevel="0" max="3" min="3" style="1" width="52"/>
    <col collapsed="false" customWidth="true" hidden="false" outlineLevel="0" max="4" min="4" style="1" width="16"/>
    <col collapsed="false" customWidth="true" hidden="false" outlineLevel="0" max="5" min="5" style="1" width="52"/>
  </cols>
  <sheetData>
    <row r="1" customFormat="false" ht="24" hidden="false" customHeight="true" outlineLevel="0" collapsed="false">
      <c r="A1" s="14" t="s">
        <v>4055</v>
      </c>
      <c r="B1" s="14"/>
      <c r="C1" s="14"/>
      <c r="D1" s="14"/>
      <c r="E1" s="14"/>
    </row>
    <row r="2" customFormat="false" ht="42" hidden="false" customHeight="true" outlineLevel="0" collapsed="false">
      <c r="A2" s="3" t="s">
        <v>4056</v>
      </c>
      <c r="B2" s="3"/>
      <c r="C2" s="3"/>
      <c r="D2" s="3"/>
      <c r="E2" s="3"/>
    </row>
    <row r="3" customFormat="false" ht="13.5" hidden="false" customHeight="true" outlineLevel="0" collapsed="false"/>
    <row r="4" customFormat="false" ht="24" hidden="false" customHeight="true" outlineLevel="0" collapsed="false">
      <c r="A4" s="7" t="s">
        <v>202</v>
      </c>
      <c r="B4" s="7" t="s">
        <v>4057</v>
      </c>
      <c r="C4" s="7" t="s">
        <v>4058</v>
      </c>
      <c r="D4" s="7" t="s">
        <v>4059</v>
      </c>
      <c r="E4" s="7" t="s">
        <v>4060</v>
      </c>
    </row>
    <row r="5" customFormat="false" ht="30" hidden="false" customHeight="true" outlineLevel="0" collapsed="false">
      <c r="A5" s="20" t="s">
        <v>4061</v>
      </c>
      <c r="B5" s="9" t="s">
        <v>4062</v>
      </c>
      <c r="C5" s="9" t="s">
        <v>4063</v>
      </c>
      <c r="D5" s="9" t="s">
        <v>3309</v>
      </c>
      <c r="E5" s="9" t="s">
        <v>4064</v>
      </c>
    </row>
    <row r="6" customFormat="false" ht="30" hidden="false" customHeight="true" outlineLevel="0" collapsed="false">
      <c r="A6" s="20" t="s">
        <v>4065</v>
      </c>
      <c r="B6" s="9" t="s">
        <v>4066</v>
      </c>
      <c r="C6" s="9" t="s">
        <v>4067</v>
      </c>
      <c r="D6" s="9" t="s">
        <v>4068</v>
      </c>
      <c r="E6" s="9" t="s">
        <v>4069</v>
      </c>
    </row>
    <row r="7" customFormat="false" ht="54.75" hidden="false" customHeight="true" outlineLevel="0" collapsed="false">
      <c r="A7" s="20" t="s">
        <v>736</v>
      </c>
      <c r="B7" s="9" t="s">
        <v>4070</v>
      </c>
      <c r="C7" s="9" t="s">
        <v>4071</v>
      </c>
      <c r="D7" s="9" t="s">
        <v>4072</v>
      </c>
      <c r="E7" s="9" t="s">
        <v>4073</v>
      </c>
    </row>
    <row r="8" customFormat="false" ht="30" hidden="false" customHeight="true" outlineLevel="0" collapsed="false">
      <c r="A8" s="20" t="s">
        <v>845</v>
      </c>
      <c r="B8" s="9" t="s">
        <v>4070</v>
      </c>
      <c r="C8" s="9" t="s">
        <v>4074</v>
      </c>
      <c r="D8" s="9" t="s">
        <v>4075</v>
      </c>
      <c r="E8" s="9" t="s">
        <v>4076</v>
      </c>
    </row>
    <row r="9" customFormat="false" ht="30" hidden="false" customHeight="true" outlineLevel="0" collapsed="false">
      <c r="A9" s="20" t="s">
        <v>4077</v>
      </c>
      <c r="B9" s="9" t="s">
        <v>4078</v>
      </c>
      <c r="C9" s="9" t="s">
        <v>4079</v>
      </c>
      <c r="D9" s="9" t="s">
        <v>4080</v>
      </c>
      <c r="E9" s="9" t="s">
        <v>4081</v>
      </c>
    </row>
    <row r="10" customFormat="false" ht="67.5" hidden="false" customHeight="true" outlineLevel="0" collapsed="false">
      <c r="A10" s="20" t="s">
        <v>941</v>
      </c>
      <c r="B10" s="9" t="s">
        <v>1425</v>
      </c>
      <c r="C10" s="9" t="s">
        <v>4082</v>
      </c>
      <c r="D10" s="9" t="s">
        <v>4083</v>
      </c>
      <c r="E10" s="9" t="s">
        <v>4084</v>
      </c>
    </row>
    <row r="11" customFormat="false" ht="30" hidden="false" customHeight="true" outlineLevel="0" collapsed="false">
      <c r="A11" s="20" t="s">
        <v>3781</v>
      </c>
      <c r="B11" s="9" t="s">
        <v>4085</v>
      </c>
      <c r="C11" s="9" t="s">
        <v>4086</v>
      </c>
      <c r="D11" s="9" t="s">
        <v>4087</v>
      </c>
      <c r="E11" s="9" t="s">
        <v>4088</v>
      </c>
    </row>
    <row r="12" customFormat="false" ht="42" hidden="false" customHeight="true" outlineLevel="0" collapsed="false">
      <c r="A12" s="20" t="s">
        <v>3784</v>
      </c>
      <c r="B12" s="9" t="s">
        <v>4089</v>
      </c>
      <c r="C12" s="9" t="s">
        <v>4090</v>
      </c>
      <c r="D12" s="9" t="s">
        <v>4080</v>
      </c>
      <c r="E12" s="9" t="s">
        <v>4091</v>
      </c>
    </row>
    <row r="13" customFormat="false" ht="42" hidden="false" customHeight="true" outlineLevel="0" collapsed="false">
      <c r="A13" s="20" t="s">
        <v>3881</v>
      </c>
      <c r="B13" s="9" t="s">
        <v>4092</v>
      </c>
      <c r="C13" s="9" t="s">
        <v>4093</v>
      </c>
      <c r="D13" s="9" t="s">
        <v>4080</v>
      </c>
      <c r="E13" s="9" t="s">
        <v>4094</v>
      </c>
    </row>
    <row r="14" customFormat="false" ht="42" hidden="false" customHeight="true" outlineLevel="0" collapsed="false">
      <c r="A14" s="20" t="s">
        <v>3787</v>
      </c>
      <c r="B14" s="9" t="s">
        <v>4095</v>
      </c>
      <c r="C14" s="9" t="s">
        <v>4096</v>
      </c>
      <c r="D14" s="9" t="s">
        <v>4097</v>
      </c>
      <c r="E14" s="9" t="s">
        <v>4098</v>
      </c>
    </row>
    <row r="15" customFormat="false" ht="30" hidden="false" customHeight="true" outlineLevel="0" collapsed="false">
      <c r="A15" s="20" t="s">
        <v>3790</v>
      </c>
      <c r="B15" s="9" t="s">
        <v>4099</v>
      </c>
      <c r="C15" s="9" t="s">
        <v>4100</v>
      </c>
      <c r="D15" s="9" t="s">
        <v>4080</v>
      </c>
      <c r="E15" s="9" t="s">
        <v>4101</v>
      </c>
    </row>
    <row r="16" customFormat="false" ht="30" hidden="false" customHeight="true" outlineLevel="0" collapsed="false">
      <c r="A16" s="20" t="s">
        <v>3793</v>
      </c>
      <c r="B16" s="9" t="s">
        <v>4102</v>
      </c>
      <c r="C16" s="9" t="s">
        <v>4103</v>
      </c>
      <c r="D16" s="9" t="s">
        <v>4080</v>
      </c>
      <c r="E16" s="9" t="s">
        <v>4104</v>
      </c>
    </row>
    <row r="17" customFormat="false" ht="30" hidden="false" customHeight="true" outlineLevel="0" collapsed="false">
      <c r="A17" s="20" t="s">
        <v>3796</v>
      </c>
      <c r="B17" s="9" t="s">
        <v>4105</v>
      </c>
      <c r="C17" s="9" t="s">
        <v>4106</v>
      </c>
      <c r="D17" s="9" t="s">
        <v>3309</v>
      </c>
      <c r="E17" s="9" t="s">
        <v>4107</v>
      </c>
    </row>
    <row r="18" customFormat="false" ht="30" hidden="false" customHeight="true" outlineLevel="0" collapsed="false">
      <c r="A18" s="20" t="s">
        <v>4108</v>
      </c>
      <c r="B18" s="9" t="s">
        <v>4109</v>
      </c>
      <c r="C18" s="9" t="s">
        <v>4110</v>
      </c>
      <c r="D18" s="9" t="s">
        <v>4080</v>
      </c>
      <c r="E18" s="9" t="s">
        <v>4111</v>
      </c>
    </row>
    <row r="19" customFormat="false" ht="30" hidden="false" customHeight="true" outlineLevel="0" collapsed="false">
      <c r="A19" s="20" t="s">
        <v>4112</v>
      </c>
      <c r="B19" s="9" t="s">
        <v>4113</v>
      </c>
      <c r="C19" s="9" t="s">
        <v>4114</v>
      </c>
      <c r="D19" s="9" t="s">
        <v>4080</v>
      </c>
      <c r="E19" s="9" t="s">
        <v>4115</v>
      </c>
    </row>
    <row r="20" customFormat="false" ht="16.5" hidden="false" customHeight="true" outlineLevel="0" collapsed="false">
      <c r="A20" s="20" t="s">
        <v>4116</v>
      </c>
      <c r="B20" s="9" t="s">
        <v>4117</v>
      </c>
      <c r="C20" s="9" t="s">
        <v>4118</v>
      </c>
      <c r="D20" s="9" t="s">
        <v>4080</v>
      </c>
      <c r="E20" s="9" t="s">
        <v>4119</v>
      </c>
    </row>
    <row r="21" customFormat="false" ht="42" hidden="false" customHeight="true" outlineLevel="0" collapsed="false">
      <c r="A21" s="20" t="s">
        <v>4120</v>
      </c>
      <c r="B21" s="9" t="s">
        <v>3915</v>
      </c>
      <c r="C21" s="9" t="s">
        <v>4121</v>
      </c>
      <c r="D21" s="9" t="s">
        <v>4122</v>
      </c>
      <c r="E21" s="9" t="s">
        <v>4123</v>
      </c>
    </row>
    <row r="22" customFormat="false" ht="30" hidden="false" customHeight="true" outlineLevel="0" collapsed="false">
      <c r="A22" s="20" t="s">
        <v>4124</v>
      </c>
      <c r="B22" s="9" t="s">
        <v>4125</v>
      </c>
      <c r="C22" s="9" t="s">
        <v>4126</v>
      </c>
      <c r="D22" s="9" t="s">
        <v>4127</v>
      </c>
      <c r="E22" s="9" t="s">
        <v>4128</v>
      </c>
    </row>
    <row r="23" customFormat="false" ht="30" hidden="false" customHeight="true" outlineLevel="0" collapsed="false">
      <c r="A23" s="20" t="s">
        <v>3799</v>
      </c>
      <c r="B23" s="9" t="s">
        <v>4129</v>
      </c>
      <c r="C23" s="9" t="s">
        <v>4130</v>
      </c>
      <c r="D23" s="9" t="s">
        <v>4131</v>
      </c>
      <c r="E23" s="9" t="s">
        <v>4132</v>
      </c>
    </row>
    <row r="24" customFormat="false" ht="42" hidden="false" customHeight="true" outlineLevel="0" collapsed="false">
      <c r="A24" s="20" t="s">
        <v>4133</v>
      </c>
      <c r="B24" s="9" t="s">
        <v>4134</v>
      </c>
      <c r="C24" s="9" t="s">
        <v>4135</v>
      </c>
      <c r="D24" s="9" t="s">
        <v>4075</v>
      </c>
      <c r="E24" s="9" t="s">
        <v>4136</v>
      </c>
    </row>
    <row r="25" customFormat="false" ht="9.75" hidden="false" customHeight="true" outlineLevel="0" collapsed="false"/>
    <row r="26" customFormat="false" ht="42" hidden="false" customHeight="true" outlineLevel="0" collapsed="false">
      <c r="A26" s="8" t="s">
        <v>3802</v>
      </c>
      <c r="B26" s="9" t="s">
        <v>3926</v>
      </c>
      <c r="C26" s="9" t="s">
        <v>4137</v>
      </c>
      <c r="D26" s="9" t="s">
        <v>4080</v>
      </c>
      <c r="E26" s="9" t="s">
        <v>4138</v>
      </c>
    </row>
    <row r="27" customFormat="false" ht="42" hidden="false" customHeight="true" outlineLevel="0" collapsed="false">
      <c r="A27" s="8" t="s">
        <v>4139</v>
      </c>
      <c r="B27" s="9" t="s">
        <v>4140</v>
      </c>
      <c r="C27" s="9" t="s">
        <v>4141</v>
      </c>
      <c r="D27" s="9" t="s">
        <v>4142</v>
      </c>
      <c r="E27" s="9" t="s">
        <v>4143</v>
      </c>
    </row>
    <row r="28" customFormat="false" ht="42" hidden="false" customHeight="true" outlineLevel="0" collapsed="false">
      <c r="A28" s="8" t="s">
        <v>3805</v>
      </c>
      <c r="B28" s="9" t="s">
        <v>4144</v>
      </c>
      <c r="C28" s="9" t="s">
        <v>4145</v>
      </c>
      <c r="D28" s="9" t="s">
        <v>3309</v>
      </c>
      <c r="E28" s="9" t="s">
        <v>4146</v>
      </c>
    </row>
    <row r="29" customFormat="false" ht="39.75" hidden="false" customHeight="true" outlineLevel="0" collapsed="false">
      <c r="A29" s="229" t="s">
        <v>4147</v>
      </c>
      <c r="B29" s="229"/>
      <c r="C29" s="229"/>
      <c r="D29" s="229"/>
      <c r="E29" s="229"/>
    </row>
    <row r="30" customFormat="false" ht="241.5" hidden="false" customHeight="true" outlineLevel="0" collapsed="false">
      <c r="A30" s="11" t="s">
        <v>4148</v>
      </c>
    </row>
  </sheetData>
  <mergeCells count="3">
    <mergeCell ref="A1:E1"/>
    <mergeCell ref="A2:E2"/>
    <mergeCell ref="A29:E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7C8C"/>
    <pageSetUpPr fitToPage="true"/>
  </sheetPr>
  <dimension ref="A1:F39"/>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14"/>
    <col collapsed="false" customWidth="true" hidden="false" outlineLevel="0" max="3" min="3" style="1" width="36"/>
    <col collapsed="false" customWidth="true" hidden="false" outlineLevel="0" max="4" min="4" style="1" width="62"/>
    <col collapsed="false" customWidth="true" hidden="false" outlineLevel="0" max="5" min="5" style="1" width="10"/>
    <col collapsed="false" customWidth="true" hidden="false" outlineLevel="0" max="6" min="6" style="1" width="62"/>
  </cols>
  <sheetData>
    <row r="1" customFormat="false" ht="24" hidden="false" customHeight="true" outlineLevel="0" collapsed="false">
      <c r="A1" s="14" t="s">
        <v>4149</v>
      </c>
      <c r="B1" s="14"/>
      <c r="C1" s="14"/>
      <c r="D1" s="14"/>
      <c r="E1" s="14"/>
      <c r="F1" s="14"/>
    </row>
    <row r="2" customFormat="false" ht="30" hidden="false" customHeight="true" outlineLevel="0" collapsed="false">
      <c r="A2" s="3" t="s">
        <v>4150</v>
      </c>
      <c r="B2" s="3"/>
      <c r="C2" s="3"/>
      <c r="D2" s="3"/>
      <c r="E2" s="3"/>
      <c r="F2" s="3"/>
    </row>
    <row r="3" customFormat="false" ht="13.5" hidden="false" customHeight="true" outlineLevel="0" collapsed="false"/>
    <row r="4" customFormat="false" ht="24" hidden="false" customHeight="true" outlineLevel="0" collapsed="false">
      <c r="A4" s="16" t="s">
        <v>202</v>
      </c>
      <c r="B4" s="16" t="s">
        <v>1904</v>
      </c>
      <c r="C4" s="16" t="s">
        <v>4151</v>
      </c>
      <c r="D4" s="16" t="s">
        <v>4152</v>
      </c>
      <c r="E4" s="16" t="s">
        <v>4059</v>
      </c>
      <c r="F4" s="16" t="s">
        <v>273</v>
      </c>
    </row>
    <row r="5" customFormat="false" ht="54.75" hidden="false" customHeight="true" outlineLevel="0" collapsed="false">
      <c r="A5" s="17" t="n">
        <v>1</v>
      </c>
      <c r="B5" s="17" t="s">
        <v>4153</v>
      </c>
      <c r="C5" s="18" t="s">
        <v>4154</v>
      </c>
      <c r="D5" s="18" t="s">
        <v>4155</v>
      </c>
      <c r="E5" s="17" t="s">
        <v>276</v>
      </c>
      <c r="F5" s="18" t="s">
        <v>4156</v>
      </c>
    </row>
    <row r="6" customFormat="false" ht="42" hidden="false" customHeight="true" outlineLevel="0" collapsed="false">
      <c r="A6" s="17" t="n">
        <v>2</v>
      </c>
      <c r="B6" s="17" t="s">
        <v>4157</v>
      </c>
      <c r="C6" s="18" t="s">
        <v>4158</v>
      </c>
      <c r="D6" s="18" t="s">
        <v>4159</v>
      </c>
      <c r="E6" s="17" t="s">
        <v>276</v>
      </c>
      <c r="F6" s="18" t="s">
        <v>4160</v>
      </c>
    </row>
    <row r="7" customFormat="false" ht="30" hidden="false" customHeight="true" outlineLevel="0" collapsed="false">
      <c r="A7" s="17" t="n">
        <v>3</v>
      </c>
      <c r="B7" s="17" t="s">
        <v>4157</v>
      </c>
      <c r="C7" s="18" t="s">
        <v>4161</v>
      </c>
      <c r="D7" s="18" t="s">
        <v>4162</v>
      </c>
      <c r="E7" s="17" t="s">
        <v>276</v>
      </c>
      <c r="F7" s="18" t="s">
        <v>4163</v>
      </c>
    </row>
    <row r="8" customFormat="false" ht="67.5" hidden="false" customHeight="true" outlineLevel="0" collapsed="false">
      <c r="A8" s="17" t="n">
        <v>4</v>
      </c>
      <c r="B8" s="17" t="s">
        <v>4157</v>
      </c>
      <c r="C8" s="18" t="s">
        <v>4164</v>
      </c>
      <c r="D8" s="18" t="s">
        <v>4165</v>
      </c>
      <c r="E8" s="17" t="s">
        <v>4080</v>
      </c>
      <c r="F8" s="18" t="s">
        <v>4166</v>
      </c>
    </row>
    <row r="9" customFormat="false" ht="42" hidden="false" customHeight="true" outlineLevel="0" collapsed="false">
      <c r="A9" s="17" t="n">
        <v>5</v>
      </c>
      <c r="B9" s="17" t="s">
        <v>4167</v>
      </c>
      <c r="C9" s="18" t="s">
        <v>4168</v>
      </c>
      <c r="D9" s="18" t="s">
        <v>4169</v>
      </c>
      <c r="E9" s="17" t="s">
        <v>276</v>
      </c>
      <c r="F9" s="18" t="s">
        <v>4170</v>
      </c>
    </row>
    <row r="10" customFormat="false" ht="79.5" hidden="false" customHeight="true" outlineLevel="0" collapsed="false">
      <c r="A10" s="17" t="n">
        <v>6</v>
      </c>
      <c r="B10" s="17" t="s">
        <v>4153</v>
      </c>
      <c r="C10" s="18" t="s">
        <v>4171</v>
      </c>
      <c r="D10" s="18" t="s">
        <v>4172</v>
      </c>
      <c r="E10" s="17" t="s">
        <v>276</v>
      </c>
      <c r="F10" s="18" t="s">
        <v>4173</v>
      </c>
    </row>
    <row r="11" customFormat="false" ht="42" hidden="false" customHeight="true" outlineLevel="0" collapsed="false">
      <c r="A11" s="17" t="n">
        <v>7</v>
      </c>
      <c r="B11" s="17" t="s">
        <v>4153</v>
      </c>
      <c r="C11" s="18" t="s">
        <v>4174</v>
      </c>
      <c r="D11" s="18" t="s">
        <v>4175</v>
      </c>
      <c r="E11" s="17" t="s">
        <v>276</v>
      </c>
      <c r="F11" s="18" t="s">
        <v>4176</v>
      </c>
    </row>
    <row r="12" customFormat="false" ht="30" hidden="false" customHeight="true" outlineLevel="0" collapsed="false">
      <c r="A12" s="17" t="n">
        <v>8</v>
      </c>
      <c r="B12" s="17" t="s">
        <v>4157</v>
      </c>
      <c r="C12" s="18" t="s">
        <v>4177</v>
      </c>
      <c r="D12" s="18" t="s">
        <v>4178</v>
      </c>
      <c r="E12" s="17" t="s">
        <v>4080</v>
      </c>
      <c r="F12" s="18" t="s">
        <v>4179</v>
      </c>
    </row>
    <row r="13" customFormat="false" ht="30" hidden="false" customHeight="true" outlineLevel="0" collapsed="false">
      <c r="A13" s="17" t="n">
        <v>9</v>
      </c>
      <c r="B13" s="17" t="s">
        <v>4157</v>
      </c>
      <c r="C13" s="18" t="s">
        <v>4180</v>
      </c>
      <c r="D13" s="18" t="s">
        <v>4181</v>
      </c>
      <c r="E13" s="17" t="s">
        <v>4080</v>
      </c>
      <c r="F13" s="18" t="s">
        <v>4182</v>
      </c>
    </row>
    <row r="14" customFormat="false" ht="30" hidden="false" customHeight="true" outlineLevel="0" collapsed="false">
      <c r="A14" s="17" t="n">
        <v>10</v>
      </c>
      <c r="B14" s="17" t="s">
        <v>4125</v>
      </c>
      <c r="C14" s="18" t="s">
        <v>4183</v>
      </c>
      <c r="D14" s="18" t="s">
        <v>4184</v>
      </c>
      <c r="E14" s="17" t="s">
        <v>276</v>
      </c>
      <c r="F14" s="18" t="s">
        <v>4185</v>
      </c>
    </row>
    <row r="15" customFormat="false" ht="30" hidden="false" customHeight="true" outlineLevel="0" collapsed="false">
      <c r="A15" s="17" t="n">
        <v>11</v>
      </c>
      <c r="B15" s="17" t="s">
        <v>4125</v>
      </c>
      <c r="C15" s="18" t="s">
        <v>4186</v>
      </c>
      <c r="D15" s="18" t="s">
        <v>4187</v>
      </c>
      <c r="E15" s="17" t="s">
        <v>276</v>
      </c>
      <c r="F15" s="18" t="s">
        <v>4188</v>
      </c>
    </row>
    <row r="16" customFormat="false" ht="42" hidden="false" customHeight="true" outlineLevel="0" collapsed="false">
      <c r="A16" s="17" t="n">
        <v>12</v>
      </c>
      <c r="B16" s="17" t="s">
        <v>4125</v>
      </c>
      <c r="C16" s="18" t="s">
        <v>4189</v>
      </c>
      <c r="D16" s="18" t="s">
        <v>4190</v>
      </c>
      <c r="E16" s="17" t="s">
        <v>276</v>
      </c>
      <c r="F16" s="18" t="s">
        <v>4191</v>
      </c>
    </row>
    <row r="17" customFormat="false" ht="42" hidden="false" customHeight="true" outlineLevel="0" collapsed="false">
      <c r="A17" s="17" t="n">
        <v>13</v>
      </c>
      <c r="B17" s="17" t="s">
        <v>4125</v>
      </c>
      <c r="C17" s="18" t="s">
        <v>4192</v>
      </c>
      <c r="D17" s="18" t="s">
        <v>4193</v>
      </c>
      <c r="E17" s="17" t="s">
        <v>276</v>
      </c>
      <c r="F17" s="18" t="s">
        <v>4194</v>
      </c>
    </row>
    <row r="18" customFormat="false" ht="30" hidden="false" customHeight="true" outlineLevel="0" collapsed="false">
      <c r="A18" s="17" t="n">
        <v>14</v>
      </c>
      <c r="B18" s="17" t="s">
        <v>4125</v>
      </c>
      <c r="C18" s="18" t="s">
        <v>4195</v>
      </c>
      <c r="D18" s="18" t="s">
        <v>4196</v>
      </c>
      <c r="E18" s="17" t="s">
        <v>4080</v>
      </c>
      <c r="F18" s="18" t="s">
        <v>4197</v>
      </c>
    </row>
    <row r="19" customFormat="false" ht="42" hidden="false" customHeight="true" outlineLevel="0" collapsed="false">
      <c r="A19" s="17" t="n">
        <v>15</v>
      </c>
      <c r="B19" s="17" t="s">
        <v>4125</v>
      </c>
      <c r="C19" s="18" t="s">
        <v>4198</v>
      </c>
      <c r="D19" s="18" t="s">
        <v>4199</v>
      </c>
      <c r="E19" s="17" t="s">
        <v>276</v>
      </c>
      <c r="F19" s="18" t="s">
        <v>4200</v>
      </c>
    </row>
    <row r="20" customFormat="false" ht="42" hidden="false" customHeight="true" outlineLevel="0" collapsed="false">
      <c r="A20" s="17" t="n">
        <v>16</v>
      </c>
      <c r="B20" s="17" t="s">
        <v>4125</v>
      </c>
      <c r="C20" s="18" t="s">
        <v>4201</v>
      </c>
      <c r="D20" s="18" t="s">
        <v>4202</v>
      </c>
      <c r="E20" s="17" t="s">
        <v>276</v>
      </c>
      <c r="F20" s="18" t="s">
        <v>4203</v>
      </c>
    </row>
    <row r="21" customFormat="false" ht="30" hidden="false" customHeight="true" outlineLevel="0" collapsed="false">
      <c r="A21" s="17" t="n">
        <v>17</v>
      </c>
      <c r="B21" s="17" t="s">
        <v>4125</v>
      </c>
      <c r="C21" s="18" t="s">
        <v>4204</v>
      </c>
      <c r="D21" s="18" t="s">
        <v>4205</v>
      </c>
      <c r="E21" s="17" t="s">
        <v>4080</v>
      </c>
      <c r="F21" s="18" t="s">
        <v>4206</v>
      </c>
    </row>
    <row r="22" customFormat="false" ht="30" hidden="false" customHeight="true" outlineLevel="0" collapsed="false">
      <c r="A22" s="17" t="n">
        <v>18</v>
      </c>
      <c r="B22" s="17" t="s">
        <v>4125</v>
      </c>
      <c r="C22" s="18" t="s">
        <v>4207</v>
      </c>
      <c r="D22" s="18" t="s">
        <v>4208</v>
      </c>
      <c r="E22" s="17" t="s">
        <v>276</v>
      </c>
      <c r="F22" s="18" t="s">
        <v>4209</v>
      </c>
    </row>
    <row r="23" customFormat="false" ht="30" hidden="false" customHeight="true" outlineLevel="0" collapsed="false">
      <c r="A23" s="17" t="n">
        <v>19</v>
      </c>
      <c r="B23" s="17" t="s">
        <v>4125</v>
      </c>
      <c r="C23" s="18" t="s">
        <v>4210</v>
      </c>
      <c r="D23" s="18" t="s">
        <v>4211</v>
      </c>
      <c r="E23" s="17" t="s">
        <v>4080</v>
      </c>
      <c r="F23" s="18" t="s">
        <v>4212</v>
      </c>
    </row>
    <row r="24" customFormat="false" ht="30" hidden="false" customHeight="true" outlineLevel="0" collapsed="false">
      <c r="A24" s="17" t="n">
        <v>20</v>
      </c>
      <c r="B24" s="17" t="s">
        <v>4125</v>
      </c>
      <c r="C24" s="18" t="s">
        <v>4213</v>
      </c>
      <c r="D24" s="18" t="s">
        <v>4214</v>
      </c>
      <c r="E24" s="17" t="s">
        <v>276</v>
      </c>
      <c r="F24" s="18" t="s">
        <v>4215</v>
      </c>
    </row>
    <row r="25" customFormat="false" ht="42" hidden="false" customHeight="true" outlineLevel="0" collapsed="false">
      <c r="A25" s="17" t="n">
        <v>21</v>
      </c>
      <c r="B25" s="17" t="s">
        <v>4125</v>
      </c>
      <c r="C25" s="18" t="s">
        <v>4216</v>
      </c>
      <c r="D25" s="18" t="s">
        <v>4217</v>
      </c>
      <c r="E25" s="17" t="s">
        <v>276</v>
      </c>
      <c r="F25" s="18" t="s">
        <v>4218</v>
      </c>
    </row>
    <row r="26" customFormat="false" ht="54.75" hidden="false" customHeight="true" outlineLevel="0" collapsed="false">
      <c r="A26" s="17" t="n">
        <v>22</v>
      </c>
      <c r="B26" s="17" t="s">
        <v>602</v>
      </c>
      <c r="C26" s="18" t="s">
        <v>4219</v>
      </c>
      <c r="D26" s="18" t="s">
        <v>4220</v>
      </c>
      <c r="E26" s="17" t="s">
        <v>4080</v>
      </c>
      <c r="F26" s="18" t="s">
        <v>4221</v>
      </c>
    </row>
    <row r="27" customFormat="false" ht="42" hidden="false" customHeight="true" outlineLevel="0" collapsed="false">
      <c r="A27" s="17" t="n">
        <v>23</v>
      </c>
      <c r="B27" s="17" t="s">
        <v>4009</v>
      </c>
      <c r="C27" s="18" t="s">
        <v>4222</v>
      </c>
      <c r="D27" s="18" t="s">
        <v>4223</v>
      </c>
      <c r="E27" s="17" t="s">
        <v>4080</v>
      </c>
      <c r="F27" s="18" t="s">
        <v>4224</v>
      </c>
    </row>
    <row r="28" customFormat="false" ht="30" hidden="false" customHeight="true" outlineLevel="0" collapsed="false">
      <c r="A28" s="17" t="n">
        <v>24</v>
      </c>
      <c r="B28" s="17" t="s">
        <v>4225</v>
      </c>
      <c r="C28" s="18" t="s">
        <v>4226</v>
      </c>
      <c r="D28" s="18" t="s">
        <v>4227</v>
      </c>
      <c r="E28" s="17" t="s">
        <v>276</v>
      </c>
      <c r="F28" s="18" t="s">
        <v>4228</v>
      </c>
    </row>
    <row r="29" customFormat="false" ht="54.75" hidden="false" customHeight="true" outlineLevel="0" collapsed="false">
      <c r="A29" s="17" t="n">
        <v>25</v>
      </c>
      <c r="B29" s="17" t="s">
        <v>4229</v>
      </c>
      <c r="C29" s="18" t="s">
        <v>4230</v>
      </c>
      <c r="D29" s="18" t="s">
        <v>4231</v>
      </c>
      <c r="E29" s="17" t="s">
        <v>4080</v>
      </c>
      <c r="F29" s="18" t="s">
        <v>4232</v>
      </c>
    </row>
    <row r="30" customFormat="false" ht="42" hidden="false" customHeight="true" outlineLevel="0" collapsed="false">
      <c r="A30" s="20" t="n">
        <v>26</v>
      </c>
      <c r="B30" s="9" t="s">
        <v>602</v>
      </c>
      <c r="C30" s="9" t="s">
        <v>4233</v>
      </c>
      <c r="D30" s="9" t="s">
        <v>4234</v>
      </c>
      <c r="E30" s="9" t="s">
        <v>3309</v>
      </c>
      <c r="F30" s="9" t="s">
        <v>4235</v>
      </c>
    </row>
    <row r="31" customFormat="false" ht="42" hidden="false" customHeight="true" outlineLevel="0" collapsed="false">
      <c r="A31" s="20" t="n">
        <v>27</v>
      </c>
      <c r="B31" s="9" t="s">
        <v>602</v>
      </c>
      <c r="C31" s="9" t="s">
        <v>4236</v>
      </c>
      <c r="D31" s="9" t="s">
        <v>4237</v>
      </c>
      <c r="E31" s="9" t="s">
        <v>3309</v>
      </c>
      <c r="F31" s="9" t="s">
        <v>4238</v>
      </c>
    </row>
    <row r="32" customFormat="false" ht="42" hidden="false" customHeight="true" outlineLevel="0" collapsed="false">
      <c r="A32" s="20" t="n">
        <v>28</v>
      </c>
      <c r="B32" s="9" t="s">
        <v>602</v>
      </c>
      <c r="C32" s="9" t="s">
        <v>4239</v>
      </c>
      <c r="D32" s="9" t="s">
        <v>4240</v>
      </c>
      <c r="E32" s="9" t="s">
        <v>3309</v>
      </c>
      <c r="F32" s="9" t="s">
        <v>4241</v>
      </c>
    </row>
    <row r="33" customFormat="false" ht="30" hidden="false" customHeight="true" outlineLevel="0" collapsed="false">
      <c r="A33" s="20" t="n">
        <v>29</v>
      </c>
      <c r="B33" s="9" t="s">
        <v>4242</v>
      </c>
      <c r="C33" s="9" t="s">
        <v>4243</v>
      </c>
      <c r="D33" s="9" t="s">
        <v>4244</v>
      </c>
      <c r="E33" s="9" t="s">
        <v>276</v>
      </c>
      <c r="F33" s="9" t="s">
        <v>4245</v>
      </c>
    </row>
    <row r="34" customFormat="false" ht="42" hidden="false" customHeight="true" outlineLevel="0" collapsed="false">
      <c r="A34" s="20" t="n">
        <v>30</v>
      </c>
      <c r="B34" s="9" t="s">
        <v>4246</v>
      </c>
      <c r="C34" s="9" t="s">
        <v>4247</v>
      </c>
      <c r="D34" s="9" t="s">
        <v>4248</v>
      </c>
      <c r="E34" s="9" t="s">
        <v>4080</v>
      </c>
      <c r="F34" s="9" t="s">
        <v>4249</v>
      </c>
    </row>
    <row r="35" customFormat="false" ht="42" hidden="false" customHeight="true" outlineLevel="0" collapsed="false">
      <c r="A35" s="20" t="n">
        <v>31</v>
      </c>
      <c r="B35" s="9" t="s">
        <v>4250</v>
      </c>
      <c r="C35" s="9" t="s">
        <v>4251</v>
      </c>
      <c r="D35" s="9" t="s">
        <v>4252</v>
      </c>
      <c r="E35" s="9" t="s">
        <v>4080</v>
      </c>
      <c r="F35" s="9" t="s">
        <v>4253</v>
      </c>
    </row>
    <row r="36" customFormat="false" ht="42" hidden="false" customHeight="true" outlineLevel="0" collapsed="false">
      <c r="A36" s="20" t="n">
        <v>32</v>
      </c>
      <c r="B36" s="9" t="s">
        <v>4254</v>
      </c>
      <c r="C36" s="9" t="s">
        <v>4255</v>
      </c>
      <c r="D36" s="9" t="s">
        <v>4256</v>
      </c>
      <c r="E36" s="9" t="s">
        <v>4080</v>
      </c>
      <c r="F36" s="9" t="s">
        <v>4257</v>
      </c>
    </row>
    <row r="37" customFormat="false" ht="42" hidden="false" customHeight="true" outlineLevel="0" collapsed="false">
      <c r="A37" s="20" t="n">
        <v>33</v>
      </c>
      <c r="B37" s="9" t="s">
        <v>4254</v>
      </c>
      <c r="C37" s="9" t="s">
        <v>4258</v>
      </c>
      <c r="D37" s="9" t="s">
        <v>4259</v>
      </c>
      <c r="E37" s="9" t="s">
        <v>276</v>
      </c>
      <c r="F37" s="9" t="s">
        <v>4260</v>
      </c>
    </row>
    <row r="38" customFormat="false" ht="42" hidden="false" customHeight="true" outlineLevel="0" collapsed="false">
      <c r="A38" s="20" t="n">
        <v>34</v>
      </c>
      <c r="B38" s="9" t="s">
        <v>4261</v>
      </c>
      <c r="C38" s="9" t="s">
        <v>4262</v>
      </c>
      <c r="D38" s="9" t="s">
        <v>4263</v>
      </c>
      <c r="E38" s="9" t="s">
        <v>4080</v>
      </c>
      <c r="F38" s="9" t="s">
        <v>4264</v>
      </c>
    </row>
    <row r="39" customFormat="false" ht="42" hidden="false" customHeight="true" outlineLevel="0" collapsed="false">
      <c r="A39" s="20" t="n">
        <v>35</v>
      </c>
      <c r="B39" s="9" t="s">
        <v>4265</v>
      </c>
      <c r="C39" s="9" t="s">
        <v>4266</v>
      </c>
      <c r="D39" s="9" t="s">
        <v>4267</v>
      </c>
      <c r="E39" s="9" t="s">
        <v>4080</v>
      </c>
      <c r="F39" s="9" t="s">
        <v>4268</v>
      </c>
    </row>
  </sheetData>
  <autoFilter ref="A4:F29"/>
  <mergeCells count="2">
    <mergeCell ref="A1:F1"/>
    <mergeCell ref="A2:F2"/>
  </mergeCells>
  <printOptions headings="false" gridLines="false" gridLinesSet="true" horizontalCentered="false" verticalCentered="false"/>
  <pageMargins left="0.75" right="0.75" top="1" bottom="1" header="0.511811023622047" footer="0.511805555555556"/>
  <pageSetup paperSize="5" scale="100" fitToWidth="1" fitToHeight="0" pageOrder="downThenOver" orientation="landscape" blackAndWhite="false" draft="false" cellComments="none" horizontalDpi="300" verticalDpi="300" copies="1"/>
  <headerFooter differentFirst="false" differentOddEven="false">
    <oddHeader/>
    <oddFooter>&amp;L&amp;8 IFT Sourced Evidence Master  |  verified 09 July 2026&amp;R&amp;8 &amp;A  |  page &amp;P of &amp;N</oddFooter>
  </headerFooter>
  <drawing r:id="rId1"/>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07D2B"/>
    <pageSetUpPr fitToPage="true"/>
  </sheetPr>
  <dimension ref="A1:H3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2" min="2" style="1" width="14"/>
    <col collapsed="false" customWidth="true" hidden="false" outlineLevel="0" max="3" min="3" style="1" width="12"/>
    <col collapsed="false" customWidth="true" hidden="false" outlineLevel="0" max="4" min="4" style="1" width="62"/>
    <col collapsed="false" customWidth="true" hidden="false" outlineLevel="0" max="5" min="5" style="1" width="44"/>
    <col collapsed="false" customWidth="true" hidden="false" outlineLevel="0" max="6" min="6" style="1" width="16"/>
    <col collapsed="false" customWidth="true" hidden="false" outlineLevel="0" max="7" min="7" style="1" width="30"/>
    <col collapsed="false" customWidth="true" hidden="false" outlineLevel="0" max="8" min="8" style="1" width="42"/>
  </cols>
  <sheetData>
    <row r="1" customFormat="false" ht="24" hidden="false" customHeight="true" outlineLevel="0" collapsed="false">
      <c r="A1" s="14" t="s">
        <v>4269</v>
      </c>
      <c r="B1" s="14"/>
      <c r="C1" s="14"/>
      <c r="D1" s="14"/>
      <c r="E1" s="14"/>
      <c r="F1" s="14"/>
      <c r="G1" s="14"/>
      <c r="H1" s="14"/>
    </row>
    <row r="2" customFormat="false" ht="30" hidden="false" customHeight="true" outlineLevel="0" collapsed="false">
      <c r="A2" s="3" t="s">
        <v>4270</v>
      </c>
      <c r="B2" s="3"/>
      <c r="C2" s="3"/>
      <c r="D2" s="3"/>
      <c r="E2" s="3"/>
      <c r="F2" s="3"/>
      <c r="G2" s="3"/>
      <c r="H2" s="3"/>
    </row>
    <row r="3" customFormat="false" ht="13.5" hidden="false" customHeight="true" outlineLevel="0" collapsed="false"/>
    <row r="4" customFormat="false" ht="30" hidden="false" customHeight="true" outlineLevel="0" collapsed="false">
      <c r="A4" s="16" t="s">
        <v>4271</v>
      </c>
      <c r="B4" s="16" t="s">
        <v>4272</v>
      </c>
      <c r="C4" s="16" t="s">
        <v>2031</v>
      </c>
      <c r="D4" s="16" t="s">
        <v>4273</v>
      </c>
      <c r="E4" s="16" t="s">
        <v>4274</v>
      </c>
      <c r="F4" s="16" t="s">
        <v>4275</v>
      </c>
      <c r="G4" s="16" t="s">
        <v>4276</v>
      </c>
      <c r="H4" s="16" t="s">
        <v>4277</v>
      </c>
    </row>
    <row r="5" customFormat="false" ht="16.5" hidden="false" customHeight="true" outlineLevel="0" collapsed="false">
      <c r="A5" s="18" t="s">
        <v>4278</v>
      </c>
      <c r="B5" s="17" t="s">
        <v>4279</v>
      </c>
      <c r="C5" s="17" t="s">
        <v>4280</v>
      </c>
      <c r="D5" s="230" t="n">
        <v>1700000</v>
      </c>
      <c r="E5" s="18" t="s">
        <v>4281</v>
      </c>
      <c r="F5" s="17" t="s">
        <v>4282</v>
      </c>
      <c r="G5" s="18" t="s">
        <v>4283</v>
      </c>
      <c r="H5" s="18" t="s">
        <v>4284</v>
      </c>
    </row>
    <row r="6" customFormat="false" ht="30" hidden="false" customHeight="true" outlineLevel="0" collapsed="false">
      <c r="A6" s="18" t="s">
        <v>4285</v>
      </c>
      <c r="B6" s="17" t="s">
        <v>4279</v>
      </c>
      <c r="C6" s="17" t="s">
        <v>4280</v>
      </c>
      <c r="D6" s="230" t="n">
        <v>1917910</v>
      </c>
      <c r="E6" s="18" t="s">
        <v>4286</v>
      </c>
      <c r="F6" s="17" t="s">
        <v>1165</v>
      </c>
      <c r="G6" s="18" t="s">
        <v>4287</v>
      </c>
      <c r="H6" s="18" t="s">
        <v>4288</v>
      </c>
    </row>
    <row r="7" customFormat="false" ht="30" hidden="false" customHeight="true" outlineLevel="0" collapsed="false">
      <c r="A7" s="18" t="s">
        <v>4289</v>
      </c>
      <c r="B7" s="17" t="s">
        <v>4279</v>
      </c>
      <c r="C7" s="17" t="s">
        <v>4280</v>
      </c>
      <c r="D7" s="230" t="n">
        <v>1135900</v>
      </c>
      <c r="E7" s="18" t="s">
        <v>4290</v>
      </c>
      <c r="F7" s="17" t="s">
        <v>4282</v>
      </c>
      <c r="G7" s="18" t="s">
        <v>4291</v>
      </c>
      <c r="H7" s="18" t="s">
        <v>4292</v>
      </c>
    </row>
    <row r="8" customFormat="false" ht="16.5" hidden="false" customHeight="true" outlineLevel="0" collapsed="false">
      <c r="A8" s="17" t="s">
        <v>4293</v>
      </c>
      <c r="B8" s="17" t="s">
        <v>4279</v>
      </c>
      <c r="C8" s="17" t="s">
        <v>4280</v>
      </c>
      <c r="D8" s="230" t="n">
        <v>740700</v>
      </c>
      <c r="E8" s="18" t="s">
        <v>4294</v>
      </c>
      <c r="F8" s="17" t="s">
        <v>4282</v>
      </c>
      <c r="G8" s="18" t="s">
        <v>4295</v>
      </c>
      <c r="H8" s="18" t="s">
        <v>4296</v>
      </c>
    </row>
    <row r="9" customFormat="false" ht="30" hidden="false" customHeight="true" outlineLevel="0" collapsed="false">
      <c r="A9" s="17" t="s">
        <v>4297</v>
      </c>
      <c r="B9" s="17" t="s">
        <v>4279</v>
      </c>
      <c r="C9" s="17" t="s">
        <v>4280</v>
      </c>
      <c r="D9" s="230" t="n">
        <v>658600</v>
      </c>
      <c r="E9" s="18" t="s">
        <v>4298</v>
      </c>
      <c r="F9" s="17" t="s">
        <v>4282</v>
      </c>
      <c r="G9" s="18" t="s">
        <v>4299</v>
      </c>
      <c r="H9" s="18" t="s">
        <v>4296</v>
      </c>
    </row>
    <row r="10" customFormat="false" ht="16.5" hidden="false" customHeight="true" outlineLevel="0" collapsed="false">
      <c r="A10" s="17" t="s">
        <v>4300</v>
      </c>
      <c r="B10" s="17" t="s">
        <v>4279</v>
      </c>
      <c r="C10" s="17" t="s">
        <v>4280</v>
      </c>
      <c r="D10" s="230" t="n">
        <v>569600</v>
      </c>
      <c r="E10" s="18" t="s">
        <v>4301</v>
      </c>
      <c r="F10" s="17" t="s">
        <v>4282</v>
      </c>
      <c r="G10" s="18" t="s">
        <v>4302</v>
      </c>
      <c r="H10" s="18" t="s">
        <v>4296</v>
      </c>
    </row>
    <row r="11" customFormat="false" ht="16.5" hidden="false" customHeight="true" outlineLevel="0" collapsed="false">
      <c r="A11" s="17" t="s">
        <v>4303</v>
      </c>
      <c r="B11" s="17" t="s">
        <v>4279</v>
      </c>
      <c r="C11" s="17" t="s">
        <v>4280</v>
      </c>
      <c r="D11" s="230" t="n">
        <v>533400</v>
      </c>
      <c r="E11" s="18" t="s">
        <v>4304</v>
      </c>
      <c r="F11" s="17" t="s">
        <v>4282</v>
      </c>
      <c r="G11" s="18" t="s">
        <v>4305</v>
      </c>
      <c r="H11" s="18" t="s">
        <v>4296</v>
      </c>
    </row>
    <row r="12" customFormat="false" ht="16.5" hidden="false" customHeight="true" outlineLevel="0" collapsed="false">
      <c r="A12" s="17" t="s">
        <v>4306</v>
      </c>
      <c r="B12" s="17" t="s">
        <v>4279</v>
      </c>
      <c r="C12" s="17" t="s">
        <v>4280</v>
      </c>
      <c r="D12" s="230" t="n">
        <v>400000</v>
      </c>
      <c r="E12" s="18" t="s">
        <v>4307</v>
      </c>
      <c r="F12" s="17" t="s">
        <v>1165</v>
      </c>
      <c r="G12" s="18" t="s">
        <v>4308</v>
      </c>
      <c r="H12" s="18" t="s">
        <v>4288</v>
      </c>
    </row>
    <row r="13" customFormat="false" ht="30" hidden="false" customHeight="true" outlineLevel="0" collapsed="false">
      <c r="A13" s="18" t="s">
        <v>4309</v>
      </c>
      <c r="B13" s="17" t="s">
        <v>4279</v>
      </c>
      <c r="C13" s="17" t="s">
        <v>4280</v>
      </c>
      <c r="D13" s="230" t="n">
        <v>319000</v>
      </c>
      <c r="E13" s="18" t="s">
        <v>4310</v>
      </c>
      <c r="F13" s="17" t="s">
        <v>4282</v>
      </c>
      <c r="G13" s="18" t="s">
        <v>4311</v>
      </c>
      <c r="H13" s="18" t="s">
        <v>4312</v>
      </c>
    </row>
    <row r="14" customFormat="false" ht="16.5" hidden="false" customHeight="true" outlineLevel="0" collapsed="false">
      <c r="A14" s="17" t="s">
        <v>4313</v>
      </c>
      <c r="B14" s="17" t="s">
        <v>4279</v>
      </c>
      <c r="C14" s="17" t="s">
        <v>4280</v>
      </c>
      <c r="D14" s="230" t="n">
        <v>230000</v>
      </c>
      <c r="E14" s="18" t="s">
        <v>4314</v>
      </c>
      <c r="F14" s="17" t="s">
        <v>4282</v>
      </c>
      <c r="G14" s="18" t="s">
        <v>4315</v>
      </c>
      <c r="H14" s="18" t="s">
        <v>4316</v>
      </c>
    </row>
    <row r="15" customFormat="false" ht="30" hidden="false" customHeight="true" outlineLevel="0" collapsed="false">
      <c r="A15" s="18" t="s">
        <v>4317</v>
      </c>
      <c r="B15" s="17" t="s">
        <v>4279</v>
      </c>
      <c r="C15" s="17" t="s">
        <v>4280</v>
      </c>
      <c r="D15" s="230" t="n">
        <v>223050</v>
      </c>
      <c r="E15" s="18" t="s">
        <v>4318</v>
      </c>
      <c r="F15" s="17" t="s">
        <v>4282</v>
      </c>
      <c r="G15" s="18" t="s">
        <v>4319</v>
      </c>
      <c r="H15" s="18" t="s">
        <v>4320</v>
      </c>
    </row>
    <row r="16" customFormat="false" ht="30" hidden="false" customHeight="true" outlineLevel="0" collapsed="false">
      <c r="A16" s="17" t="s">
        <v>4321</v>
      </c>
      <c r="B16" s="17" t="s">
        <v>4279</v>
      </c>
      <c r="C16" s="17" t="s">
        <v>4280</v>
      </c>
      <c r="D16" s="230" t="n">
        <v>150000</v>
      </c>
      <c r="E16" s="18" t="s">
        <v>4322</v>
      </c>
      <c r="F16" s="17" t="s">
        <v>1165</v>
      </c>
      <c r="G16" s="18" t="s">
        <v>4323</v>
      </c>
      <c r="H16" s="18" t="s">
        <v>4288</v>
      </c>
    </row>
    <row r="17" customFormat="false" ht="30" hidden="false" customHeight="true" outlineLevel="0" collapsed="false">
      <c r="A17" s="18" t="s">
        <v>4324</v>
      </c>
      <c r="B17" s="17" t="s">
        <v>4279</v>
      </c>
      <c r="C17" s="17" t="s">
        <v>4280</v>
      </c>
      <c r="D17" s="230" t="n">
        <v>110000</v>
      </c>
      <c r="E17" s="18" t="s">
        <v>4325</v>
      </c>
      <c r="F17" s="17" t="s">
        <v>4282</v>
      </c>
      <c r="G17" s="18" t="s">
        <v>4326</v>
      </c>
      <c r="H17" s="18" t="s">
        <v>4327</v>
      </c>
    </row>
    <row r="18" customFormat="false" ht="30" hidden="false" customHeight="true" outlineLevel="0" collapsed="false">
      <c r="A18" s="18" t="s">
        <v>4328</v>
      </c>
      <c r="B18" s="17" t="s">
        <v>4279</v>
      </c>
      <c r="C18" s="17" t="s">
        <v>4280</v>
      </c>
      <c r="D18" s="230" t="n">
        <v>13000</v>
      </c>
      <c r="E18" s="18" t="s">
        <v>4329</v>
      </c>
      <c r="F18" s="17" t="s">
        <v>1165</v>
      </c>
      <c r="G18" s="18" t="s">
        <v>4330</v>
      </c>
      <c r="H18" s="18" t="s">
        <v>4331</v>
      </c>
    </row>
    <row r="19" customFormat="false" ht="30" hidden="false" customHeight="true" outlineLevel="0" collapsed="false">
      <c r="A19" s="18" t="s">
        <v>4332</v>
      </c>
      <c r="B19" s="17" t="s">
        <v>4279</v>
      </c>
      <c r="C19" s="17" t="s">
        <v>4280</v>
      </c>
      <c r="D19" s="230" t="n">
        <v>6000000</v>
      </c>
      <c r="E19" s="18" t="s">
        <v>4333</v>
      </c>
      <c r="F19" s="17" t="s">
        <v>4282</v>
      </c>
      <c r="G19" s="18" t="s">
        <v>4334</v>
      </c>
      <c r="H19" s="18" t="s">
        <v>4335</v>
      </c>
    </row>
    <row r="20" customFormat="false" ht="30" hidden="false" customHeight="true" outlineLevel="0" collapsed="false">
      <c r="A20" s="18" t="s">
        <v>4336</v>
      </c>
      <c r="B20" s="17" t="s">
        <v>4279</v>
      </c>
      <c r="C20" s="17" t="s">
        <v>4280</v>
      </c>
      <c r="D20" s="230" t="n">
        <v>3667758</v>
      </c>
      <c r="E20" s="18" t="s">
        <v>4337</v>
      </c>
      <c r="F20" s="17" t="s">
        <v>4282</v>
      </c>
      <c r="G20" s="18" t="s">
        <v>4338</v>
      </c>
      <c r="H20" s="18" t="s">
        <v>4339</v>
      </c>
    </row>
    <row r="21" customFormat="false" ht="30" hidden="false" customHeight="true" outlineLevel="0" collapsed="false">
      <c r="A21" s="17" t="s">
        <v>4340</v>
      </c>
      <c r="B21" s="17" t="s">
        <v>4279</v>
      </c>
      <c r="C21" s="17" t="s">
        <v>4280</v>
      </c>
      <c r="D21" s="230" t="n">
        <v>380000</v>
      </c>
      <c r="E21" s="18" t="s">
        <v>4341</v>
      </c>
      <c r="F21" s="17" t="s">
        <v>4282</v>
      </c>
      <c r="G21" s="18" t="s">
        <v>4342</v>
      </c>
      <c r="H21" s="18" t="s">
        <v>4343</v>
      </c>
    </row>
    <row r="22" customFormat="false" ht="16.5" hidden="false" customHeight="true" outlineLevel="0" collapsed="false">
      <c r="A22" s="18" t="s">
        <v>4344</v>
      </c>
      <c r="B22" s="17" t="s">
        <v>4279</v>
      </c>
      <c r="C22" s="17" t="s">
        <v>4280</v>
      </c>
      <c r="D22" s="230" t="n">
        <v>200000</v>
      </c>
      <c r="E22" s="18" t="s">
        <v>4345</v>
      </c>
      <c r="F22" s="17" t="s">
        <v>1165</v>
      </c>
      <c r="G22" s="18" t="s">
        <v>4346</v>
      </c>
      <c r="H22" s="18" t="s">
        <v>4347</v>
      </c>
    </row>
    <row r="23" customFormat="false" ht="30" hidden="false" customHeight="true" outlineLevel="0" collapsed="false">
      <c r="A23" s="18" t="s">
        <v>4348</v>
      </c>
      <c r="B23" s="17" t="s">
        <v>4349</v>
      </c>
      <c r="C23" s="17" t="s">
        <v>4350</v>
      </c>
      <c r="D23" s="230" t="n">
        <v>1800000</v>
      </c>
      <c r="E23" s="18" t="s">
        <v>4351</v>
      </c>
      <c r="F23" s="17" t="s">
        <v>4282</v>
      </c>
      <c r="G23" s="18" t="s">
        <v>4352</v>
      </c>
      <c r="H23" s="18" t="s">
        <v>4353</v>
      </c>
    </row>
    <row r="24" customFormat="false" ht="30" hidden="false" customHeight="true" outlineLevel="0" collapsed="false">
      <c r="A24" s="18" t="s">
        <v>4354</v>
      </c>
      <c r="B24" s="17" t="s">
        <v>4349</v>
      </c>
      <c r="C24" s="17" t="s">
        <v>4350</v>
      </c>
      <c r="D24" s="230" t="n">
        <v>1700000</v>
      </c>
      <c r="E24" s="18" t="s">
        <v>4355</v>
      </c>
      <c r="F24" s="17" t="s">
        <v>4282</v>
      </c>
      <c r="G24" s="18" t="s">
        <v>4356</v>
      </c>
      <c r="H24" s="18" t="s">
        <v>4353</v>
      </c>
    </row>
    <row r="25" customFormat="false" ht="16.5" hidden="false" customHeight="true" outlineLevel="0" collapsed="false">
      <c r="A25" s="18" t="s">
        <v>4357</v>
      </c>
      <c r="B25" s="17" t="s">
        <v>4349</v>
      </c>
      <c r="C25" s="17" t="s">
        <v>4350</v>
      </c>
      <c r="D25" s="230" t="n">
        <v>383000</v>
      </c>
      <c r="E25" s="18" t="s">
        <v>4358</v>
      </c>
      <c r="F25" s="17" t="s">
        <v>4282</v>
      </c>
      <c r="G25" s="18" t="s">
        <v>4359</v>
      </c>
      <c r="H25" s="18" t="s">
        <v>4360</v>
      </c>
    </row>
    <row r="26" customFormat="false" ht="30" hidden="false" customHeight="true" outlineLevel="0" collapsed="false">
      <c r="A26" s="18" t="s">
        <v>4361</v>
      </c>
      <c r="B26" s="17" t="s">
        <v>4349</v>
      </c>
      <c r="C26" s="17" t="s">
        <v>4350</v>
      </c>
      <c r="D26" s="230" t="n">
        <v>90000</v>
      </c>
      <c r="E26" s="18" t="s">
        <v>4362</v>
      </c>
      <c r="F26" s="17" t="s">
        <v>4282</v>
      </c>
      <c r="G26" s="18" t="s">
        <v>4363</v>
      </c>
      <c r="H26" s="18" t="s">
        <v>4360</v>
      </c>
    </row>
    <row r="27" customFormat="false" ht="42" hidden="false" customHeight="true" outlineLevel="0" collapsed="false">
      <c r="A27" s="18" t="s">
        <v>4364</v>
      </c>
      <c r="B27" s="17" t="s">
        <v>4365</v>
      </c>
      <c r="C27" s="17" t="s">
        <v>4280</v>
      </c>
      <c r="D27" s="230" t="n">
        <v>1900000</v>
      </c>
      <c r="E27" s="18" t="s">
        <v>4366</v>
      </c>
      <c r="F27" s="17" t="s">
        <v>4282</v>
      </c>
      <c r="G27" s="18" t="s">
        <v>4367</v>
      </c>
      <c r="H27" s="18" t="s">
        <v>4368</v>
      </c>
    </row>
    <row r="28" customFormat="false" ht="9.75" hidden="false" customHeight="true" outlineLevel="0" collapsed="false"/>
    <row r="29" customFormat="false" ht="19.5" hidden="false" customHeight="true" outlineLevel="0" collapsed="false">
      <c r="A29" s="21" t="s">
        <v>4369</v>
      </c>
    </row>
    <row r="30" customFormat="false" ht="24" hidden="false" customHeight="true" outlineLevel="0" collapsed="false">
      <c r="A30" s="16" t="s">
        <v>1902</v>
      </c>
      <c r="B30" s="16" t="s">
        <v>581</v>
      </c>
      <c r="C30" s="16" t="s">
        <v>725</v>
      </c>
      <c r="D30" s="16" t="s">
        <v>2085</v>
      </c>
    </row>
    <row r="31" customFormat="false" ht="30" hidden="false" customHeight="true" outlineLevel="0" collapsed="false">
      <c r="A31" s="9" t="s">
        <v>4370</v>
      </c>
      <c r="B31" s="98" t="n">
        <v>92</v>
      </c>
      <c r="C31" s="17" t="s">
        <v>940</v>
      </c>
      <c r="D31" s="18" t="s">
        <v>4371</v>
      </c>
    </row>
    <row r="32" customFormat="false" ht="42" hidden="false" customHeight="true" outlineLevel="0" collapsed="false">
      <c r="A32" s="97" t="s">
        <v>4372</v>
      </c>
      <c r="B32" s="98" t="n">
        <v>0</v>
      </c>
      <c r="C32" s="17" t="s">
        <v>940</v>
      </c>
      <c r="D32" s="18" t="s">
        <v>4373</v>
      </c>
    </row>
    <row r="33" customFormat="false" ht="9.75" hidden="false" customHeight="true" outlineLevel="0" collapsed="false"/>
    <row r="34" customFormat="false" ht="30" hidden="false" customHeight="true" outlineLevel="0" collapsed="false">
      <c r="A34" s="19" t="s">
        <v>4374</v>
      </c>
      <c r="B34" s="19"/>
      <c r="C34" s="19"/>
      <c r="D34" s="19"/>
      <c r="E34" s="19"/>
      <c r="F34" s="19"/>
      <c r="G34" s="19"/>
      <c r="H34" s="19"/>
    </row>
    <row r="35" customFormat="false" ht="16.5" hidden="false" customHeight="true" outlineLevel="0" collapsed="false">
      <c r="A35" s="19" t="s">
        <v>4375</v>
      </c>
      <c r="B35" s="19"/>
      <c r="C35" s="19"/>
      <c r="D35" s="19"/>
      <c r="E35" s="19"/>
      <c r="F35" s="19"/>
      <c r="G35" s="19"/>
      <c r="H35" s="19"/>
    </row>
  </sheetData>
  <mergeCells count="4">
    <mergeCell ref="A1:H1"/>
    <mergeCell ref="A2:H2"/>
    <mergeCell ref="A34:H34"/>
    <mergeCell ref="A35:H35"/>
  </mergeCells>
  <printOptions headings="false" gridLines="false" gridLinesSet="true" horizontalCentered="false" verticalCentered="false"/>
  <pageMargins left="0.75" right="0.75" top="1" bottom="1" header="0.511811023622047" footer="0.511805555555556"/>
  <pageSetup paperSize="5" scale="100" fitToWidth="1" fitToHeight="0" pageOrder="downThenOver" orientation="landscape" blackAndWhite="false" draft="false" cellComments="none" horizontalDpi="300" verticalDpi="300" copies="1"/>
  <headerFooter differentFirst="false" differentOddEven="false">
    <oddHeader/>
    <oddFooter>&amp;L&amp;8 IFT Sourced Evidence Master  |  verified 09 July 2026&amp;R&amp;8 &amp;A  |  page &amp;P of &amp;N</oddFooter>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07D2B"/>
    <pageSetUpPr fitToPage="true"/>
  </sheetPr>
  <dimension ref="A1:F36"/>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44"/>
    <col collapsed="false" customWidth="true" hidden="false" outlineLevel="0" max="3" min="3" style="1" width="26"/>
    <col collapsed="false" customWidth="true" hidden="false" outlineLevel="0" max="4" min="4" style="1" width="15"/>
    <col collapsed="false" customWidth="true" hidden="false" outlineLevel="0" max="6" min="5" style="1" width="62"/>
  </cols>
  <sheetData>
    <row r="1" customFormat="false" ht="24" hidden="false" customHeight="true" outlineLevel="0" collapsed="false">
      <c r="A1" s="14" t="s">
        <v>4376</v>
      </c>
      <c r="B1" s="14"/>
      <c r="C1" s="14"/>
      <c r="D1" s="14"/>
      <c r="E1" s="14"/>
      <c r="F1" s="14"/>
    </row>
    <row r="2" customFormat="false" ht="30" hidden="false" customHeight="true" outlineLevel="0" collapsed="false">
      <c r="A2" s="3" t="s">
        <v>4377</v>
      </c>
      <c r="B2" s="3"/>
      <c r="C2" s="3"/>
      <c r="D2" s="3"/>
      <c r="E2" s="3"/>
      <c r="F2" s="3"/>
    </row>
    <row r="3" customFormat="false" ht="13.5" hidden="false" customHeight="true" outlineLevel="0" collapsed="false"/>
    <row r="4" customFormat="false" ht="33.75" hidden="false" customHeight="true" outlineLevel="0" collapsed="false">
      <c r="A4" s="16" t="s">
        <v>202</v>
      </c>
      <c r="B4" s="16" t="s">
        <v>4378</v>
      </c>
      <c r="C4" s="16" t="s">
        <v>581</v>
      </c>
      <c r="D4" s="16" t="s">
        <v>4379</v>
      </c>
      <c r="E4" s="16" t="s">
        <v>4380</v>
      </c>
      <c r="F4" s="16" t="s">
        <v>4381</v>
      </c>
    </row>
    <row r="5" customFormat="false" ht="205.5" hidden="false" customHeight="true" outlineLevel="0" collapsed="false">
      <c r="A5" s="17" t="n">
        <v>1</v>
      </c>
      <c r="B5" s="18" t="s">
        <v>4382</v>
      </c>
      <c r="C5" s="18" t="s">
        <v>4383</v>
      </c>
      <c r="D5" s="17" t="s">
        <v>4384</v>
      </c>
      <c r="E5" s="18" t="s">
        <v>4385</v>
      </c>
      <c r="F5" s="18" t="s">
        <v>4386</v>
      </c>
    </row>
    <row r="6" customFormat="false" ht="79.5" hidden="false" customHeight="true" outlineLevel="0" collapsed="false">
      <c r="A6" s="17" t="n">
        <v>2</v>
      </c>
      <c r="B6" s="18" t="s">
        <v>4387</v>
      </c>
      <c r="C6" s="17" t="s">
        <v>4388</v>
      </c>
      <c r="D6" s="17" t="s">
        <v>4384</v>
      </c>
      <c r="E6" s="18" t="s">
        <v>4389</v>
      </c>
      <c r="F6" s="18" t="s">
        <v>4390</v>
      </c>
    </row>
    <row r="7" customFormat="false" ht="117.75" hidden="false" customHeight="true" outlineLevel="0" collapsed="false">
      <c r="A7" s="17" t="n">
        <v>3</v>
      </c>
      <c r="B7" s="18" t="s">
        <v>4391</v>
      </c>
      <c r="C7" s="17" t="s">
        <v>4392</v>
      </c>
      <c r="D7" s="17" t="s">
        <v>4384</v>
      </c>
      <c r="E7" s="18" t="s">
        <v>4393</v>
      </c>
      <c r="F7" s="18" t="s">
        <v>4394</v>
      </c>
    </row>
    <row r="8" customFormat="false" ht="67.5" hidden="false" customHeight="true" outlineLevel="0" collapsed="false">
      <c r="A8" s="17" t="n">
        <v>4</v>
      </c>
      <c r="B8" s="18" t="s">
        <v>4395</v>
      </c>
      <c r="C8" s="17" t="s">
        <v>4396</v>
      </c>
      <c r="D8" s="17" t="s">
        <v>4384</v>
      </c>
      <c r="E8" s="18" t="s">
        <v>4397</v>
      </c>
      <c r="F8" s="18" t="s">
        <v>4398</v>
      </c>
    </row>
    <row r="9" customFormat="false" ht="42" hidden="false" customHeight="true" outlineLevel="0" collapsed="false">
      <c r="A9" s="17" t="n">
        <v>5</v>
      </c>
      <c r="B9" s="18" t="s">
        <v>4399</v>
      </c>
      <c r="C9" s="17" t="s">
        <v>4400</v>
      </c>
      <c r="D9" s="17" t="s">
        <v>4384</v>
      </c>
      <c r="E9" s="18" t="s">
        <v>4401</v>
      </c>
      <c r="F9" s="18" t="s">
        <v>4402</v>
      </c>
    </row>
    <row r="10" customFormat="false" ht="30" hidden="false" customHeight="true" outlineLevel="0" collapsed="false">
      <c r="A10" s="17" t="n">
        <v>6</v>
      </c>
      <c r="B10" s="18" t="s">
        <v>4403</v>
      </c>
      <c r="C10" s="18" t="s">
        <v>4404</v>
      </c>
      <c r="D10" s="17" t="s">
        <v>4384</v>
      </c>
      <c r="E10" s="18" t="s">
        <v>4405</v>
      </c>
      <c r="F10" s="18" t="s">
        <v>4406</v>
      </c>
    </row>
    <row r="11" customFormat="false" ht="54.75" hidden="false" customHeight="true" outlineLevel="0" collapsed="false">
      <c r="A11" s="17" t="n">
        <v>7</v>
      </c>
      <c r="B11" s="18" t="s">
        <v>4407</v>
      </c>
      <c r="C11" s="17" t="s">
        <v>4408</v>
      </c>
      <c r="D11" s="17" t="s">
        <v>4384</v>
      </c>
      <c r="E11" s="18" t="s">
        <v>4409</v>
      </c>
      <c r="F11" s="18" t="s">
        <v>4410</v>
      </c>
    </row>
    <row r="12" customFormat="false" ht="16.5" hidden="false" customHeight="true" outlineLevel="0" collapsed="false">
      <c r="A12" s="17" t="n">
        <v>8</v>
      </c>
      <c r="B12" s="18" t="s">
        <v>4411</v>
      </c>
      <c r="C12" s="17" t="s">
        <v>4412</v>
      </c>
      <c r="D12" s="17" t="s">
        <v>4384</v>
      </c>
      <c r="E12" s="18" t="s">
        <v>4413</v>
      </c>
      <c r="F12" s="18" t="s">
        <v>4414</v>
      </c>
    </row>
    <row r="13" customFormat="false" ht="67.5" hidden="false" customHeight="true" outlineLevel="0" collapsed="false">
      <c r="A13" s="17" t="n">
        <v>9</v>
      </c>
      <c r="B13" s="18" t="s">
        <v>4415</v>
      </c>
      <c r="C13" s="17" t="s">
        <v>4416</v>
      </c>
      <c r="D13" s="17" t="s">
        <v>4384</v>
      </c>
      <c r="E13" s="18" t="s">
        <v>4417</v>
      </c>
      <c r="F13" s="18" t="s">
        <v>4418</v>
      </c>
    </row>
    <row r="14" customFormat="false" ht="67.5" hidden="false" customHeight="true" outlineLevel="0" collapsed="false">
      <c r="A14" s="17" t="n">
        <v>10</v>
      </c>
      <c r="B14" s="18" t="s">
        <v>4419</v>
      </c>
      <c r="C14" s="18" t="s">
        <v>4420</v>
      </c>
      <c r="D14" s="17" t="s">
        <v>4384</v>
      </c>
      <c r="E14" s="18" t="s">
        <v>4421</v>
      </c>
      <c r="F14" s="18" t="s">
        <v>4422</v>
      </c>
    </row>
    <row r="15" customFormat="false" ht="180.75" hidden="false" customHeight="true" outlineLevel="0" collapsed="false">
      <c r="A15" s="17" t="n">
        <v>11</v>
      </c>
      <c r="B15" s="18" t="s">
        <v>4423</v>
      </c>
      <c r="C15" s="18" t="s">
        <v>4424</v>
      </c>
      <c r="D15" s="17" t="s">
        <v>4384</v>
      </c>
      <c r="E15" s="18" t="s">
        <v>4425</v>
      </c>
      <c r="F15" s="18" t="s">
        <v>4426</v>
      </c>
    </row>
    <row r="16" customFormat="false" ht="156" hidden="false" customHeight="true" outlineLevel="0" collapsed="false">
      <c r="A16" s="17" t="n">
        <v>12</v>
      </c>
      <c r="B16" s="18" t="s">
        <v>4427</v>
      </c>
      <c r="C16" s="17" t="s">
        <v>4428</v>
      </c>
      <c r="D16" s="17" t="s">
        <v>4384</v>
      </c>
      <c r="E16" s="18" t="s">
        <v>4429</v>
      </c>
      <c r="F16" s="18" t="s">
        <v>4430</v>
      </c>
    </row>
    <row r="17" customFormat="false" ht="42" hidden="false" customHeight="true" outlineLevel="0" collapsed="false">
      <c r="A17" s="17" t="n">
        <v>13</v>
      </c>
      <c r="B17" s="18" t="s">
        <v>4431</v>
      </c>
      <c r="C17" s="17" t="s">
        <v>4432</v>
      </c>
      <c r="D17" s="17" t="s">
        <v>4384</v>
      </c>
      <c r="E17" s="18" t="s">
        <v>4433</v>
      </c>
      <c r="F17" s="18" t="s">
        <v>4434</v>
      </c>
    </row>
    <row r="18" customFormat="false" ht="16.5" hidden="false" customHeight="true" outlineLevel="0" collapsed="false">
      <c r="A18" s="17" t="n">
        <v>14</v>
      </c>
      <c r="B18" s="18" t="s">
        <v>4435</v>
      </c>
      <c r="C18" s="17" t="s">
        <v>4436</v>
      </c>
      <c r="D18" s="17" t="s">
        <v>4384</v>
      </c>
      <c r="E18" s="18" t="s">
        <v>4437</v>
      </c>
      <c r="F18" s="18" t="s">
        <v>4438</v>
      </c>
    </row>
    <row r="19" customFormat="false" ht="117.75" hidden="false" customHeight="true" outlineLevel="0" collapsed="false">
      <c r="A19" s="17" t="n">
        <v>15</v>
      </c>
      <c r="B19" s="18" t="s">
        <v>4439</v>
      </c>
      <c r="C19" s="17" t="s">
        <v>4440</v>
      </c>
      <c r="D19" s="17" t="s">
        <v>4384</v>
      </c>
      <c r="E19" s="18" t="s">
        <v>4441</v>
      </c>
      <c r="F19" s="18" t="s">
        <v>4442</v>
      </c>
    </row>
    <row r="20" customFormat="false" ht="93" hidden="false" customHeight="true" outlineLevel="0" collapsed="false">
      <c r="A20" s="17" t="n">
        <v>16</v>
      </c>
      <c r="B20" s="18" t="s">
        <v>4443</v>
      </c>
      <c r="C20" s="17" t="s">
        <v>4444</v>
      </c>
      <c r="D20" s="17" t="s">
        <v>4384</v>
      </c>
      <c r="E20" s="18" t="s">
        <v>4445</v>
      </c>
      <c r="F20" s="18" t="s">
        <v>4446</v>
      </c>
    </row>
    <row r="21" customFormat="false" ht="54.75" hidden="false" customHeight="true" outlineLevel="0" collapsed="false">
      <c r="A21" s="17" t="n">
        <v>17</v>
      </c>
      <c r="B21" s="18" t="s">
        <v>4447</v>
      </c>
      <c r="C21" s="17" t="s">
        <v>4448</v>
      </c>
      <c r="D21" s="17" t="s">
        <v>4384</v>
      </c>
      <c r="E21" s="18" t="s">
        <v>4449</v>
      </c>
      <c r="F21" s="18" t="s">
        <v>4450</v>
      </c>
    </row>
    <row r="22" customFormat="false" ht="117.75" hidden="false" customHeight="true" outlineLevel="0" collapsed="false">
      <c r="A22" s="17" t="n">
        <v>18</v>
      </c>
      <c r="B22" s="18" t="s">
        <v>4451</v>
      </c>
      <c r="C22" s="17" t="s">
        <v>4452</v>
      </c>
      <c r="D22" s="17" t="s">
        <v>4384</v>
      </c>
      <c r="E22" s="18" t="s">
        <v>4453</v>
      </c>
      <c r="F22" s="18" t="s">
        <v>4454</v>
      </c>
    </row>
    <row r="23" customFormat="false" ht="30" hidden="false" customHeight="true" outlineLevel="0" collapsed="false">
      <c r="A23" s="17" t="n">
        <v>19</v>
      </c>
      <c r="B23" s="18" t="s">
        <v>4455</v>
      </c>
      <c r="C23" s="17" t="s">
        <v>4456</v>
      </c>
      <c r="D23" s="17" t="s">
        <v>4384</v>
      </c>
      <c r="E23" s="18" t="s">
        <v>4457</v>
      </c>
      <c r="F23" s="18" t="s">
        <v>4458</v>
      </c>
    </row>
    <row r="24" customFormat="false" ht="54.75" hidden="false" customHeight="true" outlineLevel="0" collapsed="false">
      <c r="A24" s="17" t="n">
        <v>20</v>
      </c>
      <c r="B24" s="18" t="s">
        <v>4459</v>
      </c>
      <c r="C24" s="17" t="s">
        <v>4460</v>
      </c>
      <c r="D24" s="17" t="s">
        <v>4384</v>
      </c>
      <c r="E24" s="18" t="s">
        <v>4461</v>
      </c>
      <c r="F24" s="18" t="s">
        <v>4462</v>
      </c>
    </row>
    <row r="25" customFormat="false" ht="54.75" hidden="false" customHeight="true" outlineLevel="0" collapsed="false">
      <c r="A25" s="17" t="n">
        <v>21</v>
      </c>
      <c r="B25" s="18" t="s">
        <v>4463</v>
      </c>
      <c r="C25" s="17" t="s">
        <v>4464</v>
      </c>
      <c r="D25" s="17" t="s">
        <v>4384</v>
      </c>
      <c r="E25" s="18" t="s">
        <v>4465</v>
      </c>
      <c r="F25" s="18" t="s">
        <v>4466</v>
      </c>
    </row>
    <row r="26" customFormat="false" ht="30" hidden="false" customHeight="true" outlineLevel="0" collapsed="false">
      <c r="A26" s="17" t="n">
        <v>22</v>
      </c>
      <c r="B26" s="18" t="s">
        <v>4467</v>
      </c>
      <c r="C26" s="17" t="s">
        <v>4468</v>
      </c>
      <c r="D26" s="17" t="s">
        <v>4384</v>
      </c>
      <c r="E26" s="18" t="s">
        <v>4469</v>
      </c>
      <c r="F26" s="18" t="s">
        <v>4438</v>
      </c>
    </row>
    <row r="27" customFormat="false" ht="54.75" hidden="false" customHeight="true" outlineLevel="0" collapsed="false">
      <c r="A27" s="17" t="n">
        <v>23</v>
      </c>
      <c r="B27" s="18" t="s">
        <v>4470</v>
      </c>
      <c r="C27" s="17" t="s">
        <v>4471</v>
      </c>
      <c r="D27" s="17" t="s">
        <v>4384</v>
      </c>
      <c r="E27" s="18" t="s">
        <v>4472</v>
      </c>
      <c r="F27" s="18" t="s">
        <v>4473</v>
      </c>
    </row>
    <row r="28" customFormat="false" ht="130.5" hidden="false" customHeight="true" outlineLevel="0" collapsed="false">
      <c r="A28" s="17" t="n">
        <v>24</v>
      </c>
      <c r="B28" s="18" t="s">
        <v>4474</v>
      </c>
      <c r="C28" s="17" t="s">
        <v>4475</v>
      </c>
      <c r="D28" s="17" t="s">
        <v>4384</v>
      </c>
      <c r="E28" s="18" t="s">
        <v>4476</v>
      </c>
      <c r="F28" s="18" t="s">
        <v>4477</v>
      </c>
    </row>
    <row r="29" customFormat="false" ht="67.5" hidden="false" customHeight="true" outlineLevel="0" collapsed="false">
      <c r="A29" s="17" t="n">
        <v>25</v>
      </c>
      <c r="B29" s="18" t="s">
        <v>4478</v>
      </c>
      <c r="C29" s="17" t="s">
        <v>4479</v>
      </c>
      <c r="D29" s="18" t="s">
        <v>4480</v>
      </c>
      <c r="E29" s="18" t="s">
        <v>4481</v>
      </c>
      <c r="F29" s="18" t="s">
        <v>4482</v>
      </c>
    </row>
    <row r="30" customFormat="false" ht="93" hidden="false" customHeight="true" outlineLevel="0" collapsed="false">
      <c r="A30" s="17" t="n">
        <v>26</v>
      </c>
      <c r="B30" s="18" t="s">
        <v>4483</v>
      </c>
      <c r="C30" s="18" t="s">
        <v>4484</v>
      </c>
      <c r="D30" s="17" t="s">
        <v>4485</v>
      </c>
      <c r="E30" s="18" t="s">
        <v>4486</v>
      </c>
      <c r="F30" s="18" t="s">
        <v>4487</v>
      </c>
    </row>
    <row r="31" customFormat="false" ht="93" hidden="false" customHeight="true" outlineLevel="0" collapsed="false">
      <c r="A31" s="17" t="n">
        <v>27</v>
      </c>
      <c r="B31" s="18" t="s">
        <v>4488</v>
      </c>
      <c r="C31" s="17" t="s">
        <v>4489</v>
      </c>
      <c r="D31" s="17" t="s">
        <v>4490</v>
      </c>
      <c r="E31" s="18" t="s">
        <v>4491</v>
      </c>
      <c r="F31" s="18" t="s">
        <v>4492</v>
      </c>
    </row>
    <row r="32" customFormat="false" ht="67.5" hidden="false" customHeight="true" outlineLevel="0" collapsed="false">
      <c r="A32" s="17" t="n">
        <v>28</v>
      </c>
      <c r="B32" s="18" t="s">
        <v>4493</v>
      </c>
      <c r="C32" s="17" t="s">
        <v>4494</v>
      </c>
      <c r="D32" s="17" t="s">
        <v>4495</v>
      </c>
      <c r="E32" s="18" t="s">
        <v>4496</v>
      </c>
      <c r="F32" s="18" t="s">
        <v>4497</v>
      </c>
    </row>
    <row r="33" customFormat="false" ht="42" hidden="false" customHeight="true" outlineLevel="0" collapsed="false">
      <c r="A33" s="17" t="n">
        <v>29</v>
      </c>
      <c r="B33" s="18" t="s">
        <v>4498</v>
      </c>
      <c r="C33" s="17" t="s">
        <v>4499</v>
      </c>
      <c r="D33" s="17" t="s">
        <v>4490</v>
      </c>
      <c r="E33" s="18" t="s">
        <v>4500</v>
      </c>
      <c r="F33" s="18" t="s">
        <v>4501</v>
      </c>
    </row>
    <row r="34" customFormat="false" ht="93" hidden="false" customHeight="true" outlineLevel="0" collapsed="false">
      <c r="A34" s="17" t="n">
        <v>30</v>
      </c>
      <c r="B34" s="18" t="s">
        <v>4502</v>
      </c>
      <c r="C34" s="17" t="s">
        <v>4471</v>
      </c>
      <c r="D34" s="17" t="s">
        <v>4384</v>
      </c>
      <c r="E34" s="18" t="s">
        <v>4503</v>
      </c>
      <c r="F34" s="18" t="s">
        <v>4504</v>
      </c>
    </row>
    <row r="35" customFormat="false" ht="9.75" hidden="false" customHeight="true" outlineLevel="0" collapsed="false"/>
    <row r="36" customFormat="false" ht="54.75" hidden="false" customHeight="true" outlineLevel="0" collapsed="false">
      <c r="A36" s="19" t="s">
        <v>4505</v>
      </c>
      <c r="B36" s="19"/>
      <c r="C36" s="19"/>
      <c r="D36" s="19"/>
      <c r="E36" s="19"/>
      <c r="F36" s="19"/>
    </row>
  </sheetData>
  <autoFilter ref="A4:F34"/>
  <mergeCells count="3">
    <mergeCell ref="A1:F1"/>
    <mergeCell ref="A2:F2"/>
    <mergeCell ref="A36:F36"/>
  </mergeCells>
  <printOptions headings="false" gridLines="false" gridLinesSet="true" horizontalCentered="false" verticalCentered="false"/>
  <pageMargins left="0.75" right="0.75" top="1" bottom="1" header="0.511811023622047" footer="0.511805555555556"/>
  <pageSetup paperSize="5" scale="100" fitToWidth="1" fitToHeight="0" pageOrder="downThenOver" orientation="landscape" blackAndWhite="false" draft="false" cellComments="none" horizontalDpi="300" verticalDpi="300" copies="1"/>
  <headerFooter differentFirst="false" differentOddEven="false">
    <oddHeader/>
    <oddFooter>&amp;L&amp;8 IFT Sourced Evidence Master  |  verified 09 July 2026&amp;R&amp;8 &amp;A  |  page &amp;P of &amp;N</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2026-07-09T22:37:39Z</dcterms:created>
  <dc:creator>openpyxl</dc:creator>
  <dc:description/>
  <dc:language>en-US</dc:language>
  <cp:lastModifiedBy/>
  <dcterms:modified xsi:type="dcterms:W3CDTF">2026-07-10T18:22:58Z</dcterms:modified>
  <cp:revision>26</cp:revision>
  <dc:subject/>
  <dc:title/>
</cp:coreProperties>
</file>

<file path=docProps/custom.xml><?xml version="1.0" encoding="utf-8"?>
<Properties xmlns="http://schemas.openxmlformats.org/officeDocument/2006/custom-properties" xmlns:vt="http://schemas.openxmlformats.org/officeDocument/2006/docPropsVTypes"/>
</file>