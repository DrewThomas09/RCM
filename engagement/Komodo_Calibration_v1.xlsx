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enchmarks_Public" sheetId="2" state="visible" r:id="rId4"/>
    <sheet name="Observed_Inputs" sheetId="3" state="visible" r:id="rId5"/>
    <sheet name="T2_Medicare_Capture" sheetId="4" state="visible" r:id="rId6"/>
    <sheet name="T3_Commercial_Rate" sheetId="5" state="visible" r:id="rId7"/>
    <sheet name="T4_Estimated_Allowed" sheetId="6" state="visible" r:id="rId8"/>
    <sheet name="T5_Claim_Maturity" sheetId="7" state="visible" r:id="rId9"/>
    <sheet name="T6_Payer_Mix" sheetId="8" state="visible" r:id="rId10"/>
    <sheet name="T7_Institutional_Lines" sheetId="9" state="visible" r:id="rId11"/>
    <sheet name="T8_Mileage_Structure" sheetId="10" state="visible" r:id="rId12"/>
    <sheet name="T9_Geography" sheetId="11" state="visible" r:id="rId13"/>
    <sheet name="T10_Denominator" sheetId="12" state="visible" r:id="rId14"/>
    <sheet name="GrossUp_Factors" sheetId="13" state="visible" r:id="rId15"/>
    <sheet name="Commercial_Rate_Table" sheetId="14" state="visible" r:id="rId16"/>
    <sheet name="Calibration_Memo" sheetId="15" state="visible" r:id="rId17"/>
    <sheet name="Run_Log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<sst xmlns="http://schemas.openxmlformats.org/spreadsheetml/2006/main" count="508" uniqueCount="345">
  <si>
    <t xml:space="preserve">Komodo Calibration v1 - the licensed extract read against the public evidence base</t>
  </si>
  <si>
    <t xml:space="preserve">Purpose: calibrate the Komodo Health ambulance claims extract (calendar 2025) against the verified public benchmarks in the IFT master, and package what the extract is good for - the Medicare capture / gross-up factor, the commercial realized-price multiples, the estimated-allowed disclosure, the institutional-lines verdict, and the payer mix - for the sizing team. Every test panel is live: it computes now from the transcribed inputs, and recomputes the moment the raw file overwrites Observed_Inputs.</t>
  </si>
  <si>
    <t xml:space="preserve">Firewall - read this before anything else</t>
  </si>
  <si>
    <t xml:space="preserve">The Komodo extract is LICENSED, commercial engagement data. It NEVER enters IFT_Sourced_Evidence_Master and is never cited by, linked from, or merged into it. The flow is one-way and permanent: master -&gt; calibration. This workbook IMPORTS public benchmark values from the master (as values, each carrying its fact ID or source tab) and returns nothing. A leak check logged on Run_Log confirms zero Komodo-derived values exist anywhere in the master or its repo. Keep it that way.</t>
  </si>
  <si>
    <t xml:space="preserve">The three extract caveats - preserved on every output panel</t>
  </si>
  <si>
    <t xml:space="preserve">1</t>
  </si>
  <si>
    <t xml:space="preserve">Members without a listed line of business or state were excluded from the extract (under 1 percent of claims).</t>
  </si>
  <si>
    <t xml:space="preserve">2</t>
  </si>
  <si>
    <t xml:space="preserve">Codes are not mutually exclusive to claim status (Open / Closed / Combined); a code can appear across statuses.</t>
  </si>
  <si>
    <t xml:space="preserve">3</t>
  </si>
  <si>
    <t xml:space="preserve">Multiple codes can appear on one claim, so grand totals may not align to the code breakdown. T10 defines the counting rule that removes this ambiguity downstream.</t>
  </si>
  <si>
    <t xml:space="preserve">How to read the tabs</t>
  </si>
  <si>
    <t xml:space="preserve">Benchmarks_Public</t>
  </si>
  <si>
    <t xml:space="preserve">The public pack imported from the master: volume floors and wedges, price benchmarks, and calibrators - each with its fact ID / source tab. Values only; nothing computed from Komodo.</t>
  </si>
  <si>
    <t xml:space="preserve">Observed_Inputs (T1)</t>
  </si>
  <si>
    <t xml:space="preserve">The extract headline and per-code values. Currently the visual transcription, flagged PROVISIONAL and bordered; T1 re-derives every one from the raw file. All test panels reference these cells, so overwriting them here recomputes everything.</t>
  </si>
  <si>
    <t xml:space="preserve">T2 - T10</t>
  </si>
  <si>
    <t xml:space="preserve">One panel per test. Live formulas, the interpretation and the caveat printed in-row. Bordered PENDING marks a value that needs the raw file (an obscured transcription cell, a payer/code split, a geographic filter, or a metadata field).</t>
  </si>
  <si>
    <t xml:space="preserve">GrossUp_Factors</t>
  </si>
  <si>
    <t xml:space="preserve">The T2 Medicare capture rate packaged as the candidate gross-up for the sizing team, every assumption listed.</t>
  </si>
  <si>
    <t xml:space="preserve">Commercial_Rate_Table</t>
  </si>
  <si>
    <t xml:space="preserve">The T3 commercial multiples packaged - the measured replacement for the interim FAIR bound and statutory pegs.</t>
  </si>
  <si>
    <t xml:space="preserve">Calibration_Memo</t>
  </si>
  <si>
    <t xml:space="preserve">One page for Ray: what the extract is good for and the three things it cannot see. Also shipped as a standalone .md.</t>
  </si>
  <si>
    <t xml:space="preserve">Run_Log</t>
  </si>
  <si>
    <t xml:space="preserve">Build metadata, the raw-file hash slot, and the master-untouched leak-check result.</t>
  </si>
  <si>
    <t xml:space="preserve">Public benchmark pack - imported from the master as values, with fact IDs</t>
  </si>
  <si>
    <t xml:space="preserve">Every value here is a verified public figure carried from IFT_Sourced_Evidence_Master v4.2. Nothing on this tab is computed from Komodo. The test panels reference these cells; they are the fixed side of every calibration.</t>
  </si>
  <si>
    <t xml:space="preserve">Volume floors and wedges</t>
  </si>
  <si>
    <t xml:space="preserve">Benchmark</t>
  </si>
  <si>
    <t xml:space="preserve">Value</t>
  </si>
  <si>
    <t xml:space="preserve">Unit</t>
  </si>
  <si>
    <t xml:space="preserve">Master source (fact ID / tab)</t>
  </si>
  <si>
    <t xml:space="preserve">Note</t>
  </si>
  <si>
    <t xml:space="preserve">Medicare FFS carrier ground base-code transports, 2023</t>
  </si>
  <si>
    <t xml:space="preserve">transports</t>
  </si>
  <si>
    <t xml:space="preserve">Medicare_OD_Matrix; Modifier_QM_QN_Series</t>
  </si>
  <si>
    <t xml:space="preserve">The QM/QN carrier denominator (base codes, O-D coded).</t>
  </si>
  <si>
    <t xml:space="preserve">Medicare FFS carrier ground base-code transports, 2024</t>
  </si>
  <si>
    <t xml:space="preserve">F111 (Medicare_OD_Matrix)</t>
  </si>
  <si>
    <t xml:space="preserve">The carrier-visible FFS floor used in the T2 reconstruction.</t>
  </si>
  <si>
    <t xml:space="preserve">MedPAC all-AFS Medicare transports, 2023</t>
  </si>
  <si>
    <t xml:space="preserve">F88 (MedPAC_2026_Mandated)</t>
  </si>
  <si>
    <t xml:space="preserve">Use the master 11.3M, not the 11.4M preliminary. Payments $5.3B.</t>
  </si>
  <si>
    <t xml:space="preserve">Institutional (hospital-outpatient) wedge, 2023</t>
  </si>
  <si>
    <t xml:space="preserve">F620 (Institutional_Ambulance_Wedge)</t>
  </si>
  <si>
    <t xml:space="preserve">5.15 percent of the Medicare AFS book; off-carrier FFS.</t>
  </si>
  <si>
    <t xml:space="preserve">Dark share (beneficiaries outside carrier-visible FFS), 2024</t>
  </si>
  <si>
    <t xml:space="preserve">share</t>
  </si>
  <si>
    <t xml:space="preserve">F558 (Imbalance_Ledger)</t>
  </si>
  <si>
    <t xml:space="preserve">MA and other. FFS carrier-visible share = 1 - this = 0.407.</t>
  </si>
  <si>
    <t xml:space="preserve">NEMSIS hospital-to-hospital activations, 2024</t>
  </si>
  <si>
    <t xml:space="preserve">activations</t>
  </si>
  <si>
    <t xml:space="preserve">EMS_Transports; Service_Level_Economics</t>
  </si>
  <si>
    <t xml:space="preserve">Activations, not Medicare claims; a demand-side ceiling.</t>
  </si>
  <si>
    <t xml:space="preserve">NEMSIS all facility-to-facility activations, 2024</t>
  </si>
  <si>
    <t xml:space="preserve">Service_Level_Economics; Cross_Source_Recon</t>
  </si>
  <si>
    <t xml:space="preserve">The widest facility-to-facility activation count.</t>
  </si>
  <si>
    <t xml:space="preserve">Hospital-to-hospital Medicare FFS carrier transports, 2024</t>
  </si>
  <si>
    <t xml:space="preserve">Medicare_PSPS</t>
  </si>
  <si>
    <t xml:space="preserve">The carrier-visible H2H slice; a floor for the IFT subset.</t>
  </si>
  <si>
    <t xml:space="preserve">Price benchmarks</t>
  </si>
  <si>
    <t xml:space="preserve">Ground ambulance conversion factor, CY2024</t>
  </si>
  <si>
    <t xml:space="preserve">$</t>
  </si>
  <si>
    <t xml:space="preserve">Payment_Rules B32 (GOV-A)</t>
  </si>
  <si>
    <t xml:space="preserve">Multiplies the RVU to produce the base allowed, pre-geography.</t>
  </si>
  <si>
    <t xml:space="preserve">Ground ambulance conversion factor, CY2026</t>
  </si>
  <si>
    <t xml:space="preserve">Payment_Rules (GOV-A)</t>
  </si>
  <si>
    <t xml:space="preserve">Published CY2026 CF.</t>
  </si>
  <si>
    <t xml:space="preserve">Ambulance Inflation Factor, CY2025</t>
  </si>
  <si>
    <t xml:space="preserve">per yr</t>
  </si>
  <si>
    <t xml:space="preserve">CY2025 CF = CY2024 x (1 + this); see the per-code table.</t>
  </si>
  <si>
    <t xml:space="preserve">Ground mileage rate (A0425), CY2024</t>
  </si>
  <si>
    <t xml:space="preserve">$/mile</t>
  </si>
  <si>
    <t xml:space="preserve">Payment_Rules B33 (GOV-A)</t>
  </si>
  <si>
    <t xml:space="preserve">Paid separately from the base rate.</t>
  </si>
  <si>
    <t xml:space="preserve">Ground ambulance conversion factor, CY2025 (AIF-stepped)</t>
  </si>
  <si>
    <t xml:space="preserve">DERIVED from Payment_Rules</t>
  </si>
  <si>
    <t xml:space="preserve">CY2024 CF stepped by the CY2025 AIF.</t>
  </si>
  <si>
    <t xml:space="preserve">Per-code fee-schedule and realized-allowed benchmarks (2024)</t>
  </si>
  <si>
    <t xml:space="preserve">HCPCS (level of service)</t>
  </si>
  <si>
    <t xml:space="preserve">RVU</t>
  </si>
  <si>
    <t xml:space="preserve">Fee-schedule allowed (CF2024 x RVU)</t>
  </si>
  <si>
    <t xml:space="preserve">Realized national allowed</t>
  </si>
  <si>
    <t xml:space="preserve">Source / note</t>
  </si>
  <si>
    <t xml:space="preserve">A0426  ALS1 non-emergency</t>
  </si>
  <si>
    <t xml:space="preserve">CMS AFS RVU (Payment_Rules); realized = MUP_Ambulance_National avg allowed 2024</t>
  </si>
  <si>
    <t xml:space="preserve">A0427  ALS1 emergency</t>
  </si>
  <si>
    <t xml:space="preserve">A0428  BLS non-emergency</t>
  </si>
  <si>
    <t xml:space="preserve">A0429  BLS emergency</t>
  </si>
  <si>
    <t xml:space="preserve">A0433  ALS2</t>
  </si>
  <si>
    <t xml:space="preserve">A0434  Specialty Care Transport</t>
  </si>
  <si>
    <t xml:space="preserve">RVU note: A0426 (ALS1 non-emergency) = 1.20 per the master Payment_Rules (GOV-A). The calibration order lists 1.75 for A0426; that is the A0432 paramedic-intercept RVU and is not used here. The master governs. A0433 = 2.75 and A0434 = 3.25 are the CMS AFS ALS2 and SCT values.</t>
  </si>
  <si>
    <t xml:space="preserve">Calibrators and quality references</t>
  </si>
  <si>
    <t xml:space="preserve">Measured BLS-NE avg Medicare allowed, 2024, largest subject NPI</t>
  </si>
  <si>
    <t xml:space="preserve">$/claim</t>
  </si>
  <si>
    <t xml:space="preserve">MUP_Providers_2024 (live CMS API verified)</t>
  </si>
  <si>
    <t xml:space="preserve">A sanity point against A0428 realized allowed ($260.65 national).</t>
  </si>
  <si>
    <t xml:space="preserve">MA-to-FFS ambulance revenue ratio per organization</t>
  </si>
  <si>
    <t xml:space="preserve">x</t>
  </si>
  <si>
    <t xml:space="preserve">F557 (MA_Book_Calibrator; GADCS 2.30)</t>
  </si>
  <si>
    <t xml:space="preserve">MA rev/org $1,238,482 vs FFS $1,193,046. A pricing calibrator, not a volume ratio.</t>
  </si>
  <si>
    <t xml:space="preserve">GADCS cost per transport, mean</t>
  </si>
  <si>
    <t xml:space="preserve">$/transport</t>
  </si>
  <si>
    <t xml:space="preserve">GADCS (Cost_and_Capacity)</t>
  </si>
  <si>
    <t xml:space="preserve">Median $1,340. Cost, not price.</t>
  </si>
  <si>
    <t xml:space="preserve">GADCS cost per transport, median</t>
  </si>
  <si>
    <t xml:space="preserve">Skewed mean vs median.</t>
  </si>
  <si>
    <t xml:space="preserve">BLS-NE Medicare denial rate, 2024</t>
  </si>
  <si>
    <t xml:space="preserve">PSPS_Denial_Series; Throughput_Economics_Public</t>
  </si>
  <si>
    <t xml:space="preserve">Context for closed-claim behavior.</t>
  </si>
  <si>
    <t xml:space="preserve">Ambulance organizations reporting facility-pay revenue</t>
  </si>
  <si>
    <t xml:space="preserve">F443 (Facility_Pay_Layer)</t>
  </si>
  <si>
    <t xml:space="preserve">Volume that NO claims dataset contains; a reminder, not an input.</t>
  </si>
  <si>
    <t xml:space="preserve">Also carried as qualitative reminders (no single value): the one-in-five did-not-always-bill incidence, the FAIR-derived ~1.6x commercial bound and the statutory balance-billing pegs being SUPERSEDED by T3, and the footprint-state Medicaid fee-schedule base rates (NE A0428 $154.89 / A0426 $387.24 / A0434 $387.24; IA $84.67 / $101.60 / $232.84) on the master Medicaid_Rate_Card. No national Medicaid benchmark exists.</t>
  </si>
  <si>
    <t xml:space="preserve">Observed inputs (T1 parser fidelity) - the extract as transcribed, PROVISIONAL until the raw file confirms it</t>
  </si>
  <si>
    <t xml:space="preserve">Every value below is a visual transcription from the shared view, flagged PROVISIONAL and bordered. T1 re-derives each one from the raw file: on landing, overwrite these cells and hash the file on Run_Log. Every test panel references these cells, so the whole workbook recomputes from here. Cells marked PENDING were obscured in the view and must come from the raw file.</t>
  </si>
  <si>
    <t xml:space="preserve">Grand totals</t>
  </si>
  <si>
    <t xml:space="preserve">Metric</t>
  </si>
  <si>
    <t xml:space="preserve">Claims</t>
  </si>
  <si>
    <t xml:space="preserve">Reported $</t>
  </si>
  <si>
    <t xml:space="preserve">Estimated $</t>
  </si>
  <si>
    <t xml:space="preserve">Combined $</t>
  </si>
  <si>
    <t xml:space="preserve">All codes, all payers</t>
  </si>
  <si>
    <t xml:space="preserve">Payer totals (all codes)</t>
  </si>
  <si>
    <t xml:space="preserve">Payer</t>
  </si>
  <si>
    <t xml:space="preserve">Commercial</t>
  </si>
  <si>
    <t xml:space="preserve">Medicare</t>
  </si>
  <si>
    <t xml:space="preserve">Medicaid</t>
  </si>
  <si>
    <t xml:space="preserve">Claim maturity (all codes, all payers)</t>
  </si>
  <si>
    <t xml:space="preserve">Status</t>
  </si>
  <si>
    <t xml:space="preserve">Open</t>
  </si>
  <si>
    <t xml:space="preserve">Closed</t>
  </si>
  <si>
    <t xml:space="preserve">Open/Closed combined dollars ($11.41B / $2.91B) were rounded in the shared view; T1 takes exact figures from the raw file.</t>
  </si>
  <si>
    <t xml:space="preserve">Per-code grid (Combined $ unless noted; PENDING = obscured in the view, from raw file)</t>
  </si>
  <si>
    <t xml:space="preserve">HCPCS</t>
  </si>
  <si>
    <t xml:space="preserve">Total claims</t>
  </si>
  <si>
    <t xml:space="preserve">Total combined $</t>
  </si>
  <si>
    <t xml:space="preserve">Comm claims</t>
  </si>
  <si>
    <t xml:space="preserve">Comm combined $</t>
  </si>
  <si>
    <t xml:space="preserve">Mcare claims</t>
  </si>
  <si>
    <t xml:space="preserve">Mcare combined $</t>
  </si>
  <si>
    <t xml:space="preserve">Mcaid claims</t>
  </si>
  <si>
    <t xml:space="preserve">Mcaid combined $</t>
  </si>
  <si>
    <t xml:space="preserve">A0425</t>
  </si>
  <si>
    <t xml:space="preserve">PENDING</t>
  </si>
  <si>
    <t xml:space="preserve">A0426</t>
  </si>
  <si>
    <t xml:space="preserve">A0427</t>
  </si>
  <si>
    <t xml:space="preserve">A0428</t>
  </si>
  <si>
    <t xml:space="preserve">A0429</t>
  </si>
  <si>
    <t xml:space="preserve">A0433</t>
  </si>
  <si>
    <t xml:space="preserve">A0434</t>
  </si>
  <si>
    <t xml:space="preserve">T1 re-derivation (raw file)</t>
  </si>
  <si>
    <t xml:space="preserve">Raw-file re-derivation status</t>
  </si>
  <si>
    <t xml:space="preserve">PENDING - Andrew delivers the raw extract; T1 recomputes every cell above and explains any discrepancy before downstream panels are trusted.</t>
  </si>
  <si>
    <t xml:space="preserve">Raw-file SHA-256</t>
  </si>
  <si>
    <t xml:space="preserve">T2. Medicare capture decomposition - the gross-up factor everyone needs</t>
  </si>
  <si>
    <t xml:space="preserve">Komodo Medicare base-code claims against a reconstruction of the Medicare book (FFS carrier floor + institutional wedge + an MA bound). Output: the implied Komodo capture of the Medicare book, and how much of Komodo Medicare must be MA. This capture rate is the candidate gross-up for the commercial and Medicaid columns.</t>
  </si>
  <si>
    <t xml:space="preserve">Step</t>
  </si>
  <si>
    <t xml:space="preserve">Interpretation / caveat (in-row)</t>
  </si>
  <si>
    <t xml:space="preserve">Komodo Medicare base-code claims, 2025 (Medicare total - A0425)</t>
  </si>
  <si>
    <t xml:space="preserve">claims</t>
  </si>
  <si>
    <t xml:space="preserve">Base codes only (mileage removed), per the T10 denominator rule.</t>
  </si>
  <si>
    <t xml:space="preserve">FFS carrier base transports, 2024 (benchmark floor)</t>
  </si>
  <si>
    <t xml:space="preserve">Carrier-visible FFS; the floor of the reconstruction.</t>
  </si>
  <si>
    <t xml:space="preserve">Plus institutional wedge (benchmark)</t>
  </si>
  <si>
    <t xml:space="preserve">Off-carrier FFS, hospital-outpatient billed.</t>
  </si>
  <si>
    <t xml:space="preserve">Equals FFS AFS book (carrier plus institutional)</t>
  </si>
  <si>
    <t xml:space="preserve">Reconciles to the MedPAC 11.3M all-AFS book as a sanity check.</t>
  </si>
  <si>
    <t xml:space="preserve">Implied MA volume inside Komodo Medicare (assumes full FFS capture)</t>
  </si>
  <si>
    <t xml:space="preserve">Komodo Medicare base minus the FFS AFS book; the residual must be Medicare Advantage.</t>
  </si>
  <si>
    <t xml:space="preserve">MA volume upper bound (dark-share gross-up, per-capita equal)</t>
  </si>
  <si>
    <t xml:space="preserve">FFS AFS book scaled by MA/FFS beneficiary ratio; an UPPER bound (MA per-capita use is typically lower than FFS).</t>
  </si>
  <si>
    <t xml:space="preserve">Implied Komodo MA capture (of the MA upper bound)</t>
  </si>
  <si>
    <t xml:space="preserve">A LOWER bound on MA capture, because the denominator is an upper bound.</t>
  </si>
  <si>
    <t xml:space="preserve">Reconstructed full Medicare book (FFS AFS + MA upper bound)</t>
  </si>
  <si>
    <t xml:space="preserve">The widest Medicare universe for the capture ratio.</t>
  </si>
  <si>
    <t xml:space="preserve">Implied Komodo capture of the full Medicare book</t>
  </si>
  <si>
    <t xml:space="preserve">The candidate gross-up = 1 / this capture. See GrossUp_Factors.</t>
  </si>
  <si>
    <t xml:space="preserve">Caveats (carried to every downstream exhibit)</t>
  </si>
  <si>
    <t xml:space="preserve">Vintage: Komodo is calendar 2025; the benchmarks are 2023-2024. Weakest link: the gross-up assumes capture is PAYER-UNIFORM, so the Medicare capture rate is applied to Commercial and Medicaid - stated, not proven. The MA bound assumes MA per-capita utilization equals FFS, which overstates MA volume, so the MA capture percent is a floor and the full-book capture percent is a floor. "Medicare" in Komodo mixes FFS and MA and (pending T7) possibly institutional lines; this decomposition is the tool for splitting them.</t>
  </si>
  <si>
    <t xml:space="preserve">T3. Commercial realized-price table - supersedes the interim anchors</t>
  </si>
  <si>
    <t xml:space="preserve">Per code: Commercial combined allowed per claim, and the Medicare-multiple against both benchmarks (fee schedule CF x RVU, and realized PSPS allowed), side by side with the FAIR ~1.6x bound and the statutory pegs this measurement replaces. Reported-only is the conservative column (PENDING per-code reported dollars from the raw file).</t>
  </si>
  <si>
    <t xml:space="preserve">Comm combined $/claim</t>
  </si>
  <si>
    <t xml:space="preserve">Multiple vs fee schedule</t>
  </si>
  <si>
    <t xml:space="preserve">Multiple vs realized</t>
  </si>
  <si>
    <t xml:space="preserve">Reported-only $/claim (cons.)</t>
  </si>
  <si>
    <t xml:space="preserve">FAIR bound</t>
  </si>
  <si>
    <t xml:space="preserve">Statutory pegs</t>
  </si>
  <si>
    <t xml:space="preserve">Read / caveat</t>
  </si>
  <si>
    <t xml:space="preserve">A0426 ALS1 non-emergency</t>
  </si>
  <si>
    <t xml:space="preserve">~1.6x</t>
  </si>
  <si>
    <t xml:space="preserve">varies by state</t>
  </si>
  <si>
    <t xml:space="preserve">Combined = reported + Komodo-estimated; see T4 for the modeled share. Reported-only column fills from the raw file.</t>
  </si>
  <si>
    <t xml:space="preserve">A0427 ALS1 emergency</t>
  </si>
  <si>
    <t xml:space="preserve">Commercial split obscured in the view; from raw file.</t>
  </si>
  <si>
    <t xml:space="preserve">A0428 BLS non-emergency</t>
  </si>
  <si>
    <t xml:space="preserve">A0429 BLS emergency</t>
  </si>
  <si>
    <t xml:space="preserve">A0433 ALS2</t>
  </si>
  <si>
    <t xml:space="preserve">A0434 Specialty Care Transport</t>
  </si>
  <si>
    <t xml:space="preserve">Transcription check: A0428 computes to about $533 combined per claim (~2.0x fee schedule, ~2.0x realized); A0434 to about $2,208 (~2.5x fee schedule, ~2.4x realized). These recompute from the raw file. The measured multiples replace the FAIR-derived ~1.6x bound and the statutory balance-billing pegs carried on the master Balance_Billing_States; both are shown for continuity.</t>
  </si>
  <si>
    <t xml:space="preserve">T4. Estimated-allowed disclosure</t>
  </si>
  <si>
    <t xml:space="preserve">(Combined minus Reported) / Combined - the share of dollars that are Komodo-modeled rather than payer-reported. Every exhibit built on Combined carries this share as a printed caveat; T3 keeps a Reported-only column for exactly this reason.</t>
  </si>
  <si>
    <t xml:space="preserve">Scope</t>
  </si>
  <si>
    <t xml:space="preserve">Estimated share of $</t>
  </si>
  <si>
    <t xml:space="preserve">Basis</t>
  </si>
  <si>
    <t xml:space="preserve">Interpretation</t>
  </si>
  <si>
    <t xml:space="preserve">Grand total (all payers, all codes)</t>
  </si>
  <si>
    <t xml:space="preserve">Combined vs Reported</t>
  </si>
  <si>
    <t xml:space="preserve">About a third of all dollars are Komodo-estimated where the payer did not report an allowed amount.</t>
  </si>
  <si>
    <t xml:space="preserve">Commercial (all codes)</t>
  </si>
  <si>
    <t xml:space="preserve">needs per-payer Reported $</t>
  </si>
  <si>
    <t xml:space="preserve">Payer-level Reported dollars are not in the transcription; from the raw file.</t>
  </si>
  <si>
    <t xml:space="preserve">Medicare (all codes)</t>
  </si>
  <si>
    <t xml:space="preserve">Medicaid (all codes)</t>
  </si>
  <si>
    <t xml:space="preserve">Rule: any downstream number built on Combined dollars prints this estimated share beside it. The Reported-only figures are the conservative floor.</t>
  </si>
  <si>
    <t xml:space="preserve">T5. Claim maturity (Open vs Closed)</t>
  </si>
  <si>
    <t xml:space="preserve">Open versus Closed shares, the unit-price comparison closed vs combined, and a stated completion-factor method for how 2025 volumes will drift as claims close. No projected number - the method and the current bias direction only.</t>
  </si>
  <si>
    <t xml:space="preserve">Interpretation / caveat</t>
  </si>
  <si>
    <t xml:space="preserve">Open share of claims</t>
  </si>
  <si>
    <t xml:space="preserve">2025 is early: about four in five claims are still open.</t>
  </si>
  <si>
    <t xml:space="preserve">Closed share of claims</t>
  </si>
  <si>
    <t xml:space="preserve">The mature slice usable for realized pricing.</t>
  </si>
  <si>
    <t xml:space="preserve">Closed combined $/claim</t>
  </si>
  <si>
    <t xml:space="preserve">Compare to the all-status figure below.</t>
  </si>
  <si>
    <t xml:space="preserve">All-status combined $/claim</t>
  </si>
  <si>
    <t xml:space="preserve">Closed-vs-all gap is the maturity price bias.</t>
  </si>
  <si>
    <t xml:space="preserve">Completion-factor method (no projected number)</t>
  </si>
  <si>
    <t xml:space="preserve">2025 volumes are understated because ~80 percent of claims are still open. Method: once a mature prior year is available, compute a completion factor = final claims / claims-at-equivalent-age, and divide 2025 volumes by it to estimate the run-out. Current bias: 2025 counts and dollars will RISE as claims close. State the factor and the direction; do not print a projected total until the mature-year ratio is in hand.</t>
  </si>
  <si>
    <t xml:space="preserve">T6. Payer mix of the scheduled book</t>
  </si>
  <si>
    <t xml:space="preserve">Per IFT code (A0426 / A0428 / A0434), payer shares of claims and dollars. Feeds the TAM pricing weights; compared against the master enrollment-based expectations (the dark share).</t>
  </si>
  <si>
    <t xml:space="preserve">Comm % claims</t>
  </si>
  <si>
    <t xml:space="preserve">Mcare % claims</t>
  </si>
  <si>
    <t xml:space="preserve">Mcaid % claims</t>
  </si>
  <si>
    <t xml:space="preserve">Comm % $</t>
  </si>
  <si>
    <t xml:space="preserve">Mcare % $</t>
  </si>
  <si>
    <t xml:space="preserve">Mcaid % $</t>
  </si>
  <si>
    <t xml:space="preserve">A0428 is ~77 percent Medicare by claims - the scheduled BLS book skews Medicare, as the dark share predicts. PENDING = split obscured in the view.</t>
  </si>
  <si>
    <t xml:space="preserve">Compare Medicare claim shares here against the 59.3 percent dark share: Komodo Medicare includes MA, so a high Medicare share is consistent with MA being captured (see T2).</t>
  </si>
  <si>
    <t xml:space="preserve">T7. Institutional-lines presence test (answered empirically)</t>
  </si>
  <si>
    <t xml:space="preserve">Does the extract contain institutional (UB-04) claims? First from metadata (claim form / bill type / revenue-center fields), and if absent, by inference from whether the T2 Medicare reconstruction closes without room for the 581,532 institutional transports. One-cell verdict.</t>
  </si>
  <si>
    <t xml:space="preserve">Verdict</t>
  </si>
  <si>
    <t xml:space="preserve">Institutional lines in extract</t>
  </si>
  <si>
    <t xml:space="preserve">INDETERMINATE</t>
  </si>
  <si>
    <t xml:space="preserve">Metadata fields (claim form type / bill type / revenue center) are not in the transcription; the raw file decides. By inference, Komodo Medicare base already exceeds the FFS carrier floor, but the excess cannot be split between MA and institutional from volume alone - so the volume test is INDETERMINATE and metadata governs.</t>
  </si>
  <si>
    <t xml:space="preserve">Evidence</t>
  </si>
  <si>
    <t xml:space="preserve">Metadata check</t>
  </si>
  <si>
    <t xml:space="preserve">PENDING (raw file)</t>
  </si>
  <si>
    <t xml:space="preserve">Look for claim_form_type / bill_type_code / revenue_center in the raw schema. Presence of rev centers 0540-0549 = INCLUDED.</t>
  </si>
  <si>
    <t xml:space="preserve">Inference from T2</t>
  </si>
  <si>
    <t xml:space="preserve">T2 FFS AFS book (carrier + wedge) already embeds the 581,532; Komodo Medicare base exceeds it, but the surplus is MA and/or institutional - not separable without metadata.</t>
  </si>
  <si>
    <t xml:space="preserve">If EXCLUDED - the correction and the second-extract spec (ready to forward)</t>
  </si>
  <si>
    <t xml:space="preserve">If institutional lines are EXCLUDED, the bottoms-up must ADD the institutional wedge (581,532 Medicare transports) separately, and the commercial/Medicaid institutional volume is unmeasured. Second extract spec: all claim lines with revenue centers 0540-0549 and HCPCS A0425-A0436, returning billing entity, service units, service date, and payer type, by year 2019-2024, so the institutional slice is measured directly rather than inferred.</t>
  </si>
  <si>
    <t xml:space="preserve">T8. Mileage structure</t>
  </si>
  <si>
    <t xml:space="preserve">A0425 claims per base-code claim, by payer, against the master loading factor. Printed limitation: Komodo shows CLAIMS, not mileage units, so this is a structural check, not a loading measurement.</t>
  </si>
  <si>
    <t xml:space="preserve">A0425 Medicare claims per Medicare base-code claim</t>
  </si>
  <si>
    <t xml:space="preserve">ratio</t>
  </si>
  <si>
    <t xml:space="preserve">About 1.06 mileage claims per base transport for Medicare - a structural ratio, not miles.</t>
  </si>
  <si>
    <t xml:space="preserve">Master loading factor (A0425 units per base transport)</t>
  </si>
  <si>
    <t xml:space="preserve">import Derived_Rate_Card</t>
  </si>
  <si>
    <t xml:space="preserve">The master computes a mileage-LOADED price ratio; not directly comparable to a claims-per-claim count.</t>
  </si>
  <si>
    <t xml:space="preserve">Commercial / Medicaid mileage ratios</t>
  </si>
  <si>
    <t xml:space="preserve">A0425 payer splits were obscured in the view; from the raw file.</t>
  </si>
  <si>
    <t xml:space="preserve">Limitation: a claims-per-claim ratio is not a loaded-mileage measurement. Reading loaded price per transport needs mileage UNITS, which Komodo does not carry.</t>
  </si>
  <si>
    <t xml:space="preserve">T9. Geography spot-checks</t>
  </si>
  <si>
    <t xml:space="preserve">Re-run T2 / T3 / T6 filtered to Nebraska and one footprint MSA; compare to the master state benchmarks. Flags any geographic capture skew before a state cut is built on this data.</t>
  </si>
  <si>
    <t xml:space="preserve">Check</t>
  </si>
  <si>
    <t xml:space="preserve">Nebraska</t>
  </si>
  <si>
    <t xml:space="preserve">Footprint MSA</t>
  </si>
  <si>
    <t xml:space="preserve">Master comparison</t>
  </si>
  <si>
    <t xml:space="preserve">T2 Medicare capture (state)</t>
  </si>
  <si>
    <t xml:space="preserve">Compare vs Medicaid_Rate_Card (NE base rates) and the master state enrollment mix.</t>
  </si>
  <si>
    <t xml:space="preserve">T3 commercial multiple (state)</t>
  </si>
  <si>
    <t xml:space="preserve">T6 payer mix (state)</t>
  </si>
  <si>
    <t xml:space="preserve">Needs the state/MSA-filtered extract. On landing, these fill from the same formulas as T2/T3/T6 with the geography filter applied; a large NE-vs-national capture gap means the national gross-up cannot be applied to a state cut without adjustment.</t>
  </si>
  <si>
    <t xml:space="preserve">T10. Denominator discipline (import this everywhere)</t>
  </si>
  <si>
    <t xml:space="preserve">One definition every downstream exhibit uses, so no two cuts count differently.</t>
  </si>
  <si>
    <t xml:space="preserve">The counting rule</t>
  </si>
  <si>
    <t xml:space="preserve">A transport =</t>
  </si>
  <si>
    <t xml:space="preserve">one base-code claim (A0426, A0427, A0428, A0429, A0433, A0434). Mileage (A0425) is EXCLUDED from transport counts - it is a per-mile add-on, not a transport.</t>
  </si>
  <si>
    <t xml:space="preserve">Dollars =</t>
  </si>
  <si>
    <t xml:space="preserve">Combined allowed (reported + estimated) unless a panel states Reported-only; the estimated share (T4) travels with any Combined figure.</t>
  </si>
  <si>
    <t xml:space="preserve">Status =</t>
  </si>
  <si>
    <t xml:space="preserve">Combined (Open + Closed) for volume; closed-only where a panel measures mature realized price (T5).</t>
  </si>
  <si>
    <t xml:space="preserve">Non-mutual-exclusivity =</t>
  </si>
  <si>
    <t xml:space="preserve">a claim carrying multiple codes is counted once per code it carries; grand totals may exceed the distinct-claim count. The multi-code overlap is quantified from the raw file (PENDING) and printed here.</t>
  </si>
  <si>
    <t xml:space="preserve">Multi-code overlap (raw file)</t>
  </si>
  <si>
    <t xml:space="preserve">Every panel in this workbook already follows this rule; it is stated here as the single import for the sizing model.</t>
  </si>
  <si>
    <t xml:space="preserve">Gross-up factors (packaged from T2 for the sizing team)</t>
  </si>
  <si>
    <t xml:space="preserve">The Medicare capture rate turned into the gross-up that converts Komodo-captured volume to the universe, with every assumption listed. Handle as a bounded estimate, not a point.</t>
  </si>
  <si>
    <t xml:space="preserve">Factor</t>
  </si>
  <si>
    <t xml:space="preserve">Assumption / caveat</t>
  </si>
  <si>
    <t xml:space="preserve">From T2. Denominator uses the MA upper bound, so this capture is a FLOOR.</t>
  </si>
  <si>
    <t xml:space="preserve">Candidate gross-up = 1 / capture</t>
  </si>
  <si>
    <t xml:space="preserve">Multiply Komodo-captured volume by this to approach the universe; a CEILING because capture is a floor.</t>
  </si>
  <si>
    <t xml:space="preserve">Assumptions (all of them)</t>
  </si>
  <si>
    <t xml:space="preserve">Capture is PAYER-UNIFORM: the Medicare capture rate is applied to the Commercial and Medicaid columns. This is the weakest link - Komodo commercial capture may differ materially.</t>
  </si>
  <si>
    <t xml:space="preserve">MA per-capita utilization = FFS in the MA bound; this overstates MA volume, making the capture a floor and the gross-up a ceiling.</t>
  </si>
  <si>
    <t xml:space="preserve">Vintage mismatch: Komodo is 2025 (mostly open claims, T5); benchmarks are 2023-2024. The completion factor (T5) will lift 2025 volumes.</t>
  </si>
  <si>
    <t xml:space="preserve">"Medicare" in Komodo mixes FFS and MA and (pending T7) possibly institutional lines.</t>
  </si>
  <si>
    <t xml:space="preserve">Volume that NO claims dataset contains - the ~1-in-5 did-not-always-bill and the 18.6 percent facility-pay layer - sits outside every gross-up here.</t>
  </si>
  <si>
    <t xml:space="preserve">Commercial rate table (packaged from T3)</t>
  </si>
  <si>
    <t xml:space="preserve">The measured commercial realized price per code and its Medicare-multiples - the replacement for the interim FAIR bound and statutory pegs. Combined dollars; the T4 estimated share travels with each figure.</t>
  </si>
  <si>
    <t xml:space="preserve">Comm $/claim (combined)</t>
  </si>
  <si>
    <t xml:space="preserve">x fee schedule</t>
  </si>
  <si>
    <t xml:space="preserve">x realized</t>
  </si>
  <si>
    <t xml:space="preserve">Carries the T4 estimated-allowed share.</t>
  </si>
  <si>
    <t xml:space="preserve">Commercial split from the raw file.</t>
  </si>
  <si>
    <t xml:space="preserve">Supersedes: the FAIR-derived ~1.6x commercial bound and the statutory balance-billing pegs on the master Balance_Billing_States. Those remain in the master untouched; this is the engagement-side measured replacement.</t>
  </si>
  <si>
    <t xml:space="preserve">Calibration memo - one page for Ray</t>
  </si>
  <si>
    <t xml:space="preserve">What the Komodo extract is good for, and the three things it cannot see.</t>
  </si>
  <si>
    <t xml:space="preserve">What the extract is</t>
  </si>
  <si>
    <t xml:space="preserve">Komodo Health ambulance claims, calendar 2025, seven codes, split Commercial / Medicare / Medicaid, with Open / Closed / Combined status and four dollar columns (Total, Reported, Estimated, Combined). ~47.1M claims and ~$14.3B combined allowed as transcribed; T1 re-derives from the raw file. Three caveats travel with every number: &lt;1 percent of claims excluded for missing line-of-business/state, codes not mutually exclusive to status, and multiple codes per claim.</t>
  </si>
  <si>
    <t xml:space="preserve">The capture / gross-up (T2)</t>
  </si>
  <si>
    <t xml:space="preserve">Komodo Medicare base-code volume (~13.9M claims) against the reconstructed Medicare book implies a capture of roughly half the full Medicare universe - a candidate gross-up near 2x. It is a bounded estimate: the capture is a floor (MA bound is an upper bound) and it assumes capture is payer-uniform (the weakest link). Use it to scale, not to pinpoint.</t>
  </si>
  <si>
    <t xml:space="preserve">The commercial multiples (T3)</t>
  </si>
  <si>
    <t xml:space="preserve">Measured commercial realized price runs well above Medicare: A0428 ~$533 per claim (~2x fee schedule), A0434 ~$2,208 (~2.4x realized). This replaces the interim FAIR ~1.6x bound with a per-code, measured multiple. The Reported-only column (from the raw file) is the conservative version.</t>
  </si>
  <si>
    <t xml:space="preserve">The estimated-allowed disclosure (T4)</t>
  </si>
  <si>
    <t xml:space="preserve">About a third of all dollars are Komodo-MODELED, not payer-reported. Any sizing built on Combined dollars must carry this share; the Reported-only figures are the floor.</t>
  </si>
  <si>
    <t xml:space="preserve">The institutional verdict (T7)</t>
  </si>
  <si>
    <t xml:space="preserve">INDETERMINATE until the raw file: metadata (claim form / bill type / revenue center) decides whether institutional UB-04 lines are in. If EXCLUDED, add the 581,532 Medicare institutional wedge separately and cut the second extract (rev centers 0540-0549).</t>
  </si>
  <si>
    <t xml:space="preserve">The three things it cannot see</t>
  </si>
  <si>
    <t xml:space="preserve">(1) Unbilled transports - the ~1-in-5 did-not-always-bill incidence. (2) Facility-pay revenue - 18.6 percent of organizations take it, and no claims dataset contains it. (3) Bundled transports - Part A inpatient-bundled and SNF consolidated-billing rides that never surface as a claim. No gross-up recovers these; they are named, not modeled.</t>
  </si>
  <si>
    <t xml:space="preserve">Run log and firewall attestation</t>
  </si>
  <si>
    <t xml:space="preserve">Build metadata, the raw-file hash slot, and the master-untouched leak check.</t>
  </si>
  <si>
    <t xml:space="preserve">Build</t>
  </si>
  <si>
    <t xml:space="preserve">Workbook</t>
  </si>
  <si>
    <t xml:space="preserve">Komodo_Calibration_v1.xlsx</t>
  </si>
  <si>
    <t xml:space="preserve">Built</t>
  </si>
  <si>
    <t xml:space="preserve">14 July 2026</t>
  </si>
  <si>
    <t xml:space="preserve">Benchmark source</t>
  </si>
  <si>
    <t xml:space="preserve">IFT_Sourced_Evidence_Master v4.2 (values imported one-way; fact IDs on Benchmarks_Public)</t>
  </si>
  <si>
    <t xml:space="preserve">Extract vintage</t>
  </si>
  <si>
    <t xml:space="preserve">Komodo Health ambulance claims, calendar 2025</t>
  </si>
  <si>
    <t xml:space="preserve">State</t>
  </si>
  <si>
    <t xml:space="preserve">SKELETON - benchmarks and all test panels live; awaiting the raw extract from Andrew to re-derive Observed_Inputs (T1).</t>
  </si>
  <si>
    <t xml:space="preserve">Raw extract</t>
  </si>
  <si>
    <t xml:space="preserve">Raw file delivered</t>
  </si>
  <si>
    <t xml:space="preserve">PENDING (Andrew)</t>
  </si>
  <si>
    <t xml:space="preserve">Raw file SHA-256</t>
  </si>
  <si>
    <t xml:space="preserve">Firewall leak check (master must be untouched)</t>
  </si>
  <si>
    <t xml:space="preserve">Zero Komodo-derived values in the master</t>
  </si>
  <si>
    <t xml:space="preserve">CONFIRMED at build - see leak_check_master.json; the extract signature figures (47,061,988 claims; $14,320,080,327 combined; the payer and code totals) appear nowhere in IFT_Sourced_Evidence_Master v4.2 or its repo.</t>
  </si>
  <si>
    <t xml:space="preserve">Direction</t>
  </si>
  <si>
    <t xml:space="preserve">One-way: master -&gt; calibration. This workbook is never cited by, linked from, or merged into the master.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</si>
</sst>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#,##0.00;\(#,##0.00\);\-"/>
    <numFmt numFmtId="169" formatCode="0.00\x"/>
    <numFmt numFmtId="170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294C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1F7A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00294C"/>
        <bgColor rgb="FF13343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medium">
        <color rgb="FF0029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3"/>
      <rgbColor rgb="FF000080"/>
      <rgbColor rgb="FF808000"/>
      <rgbColor rgb="FF800080"/>
      <rgbColor rgb="FF1F6F8B"/>
      <rgbColor rgb="FFC0C0C0"/>
      <rgbColor rgb="FF6B7C93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294C"/>
      <rgbColor rgb="FF339966"/>
      <rgbColor rgb="FF13343B"/>
      <rgbColor rgb="FF3B1330"/>
      <rgbColor rgb="FF7A3B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C93"/>
    <pageSetUpPr fitToPage="tru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4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63.75" hidden="false" customHeight="true" outlineLevel="0" collapsed="false">
      <c r="A2" s="2" t="s">
        <v>1</v>
      </c>
      <c r="B2" s="2"/>
      <c r="C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2</v>
      </c>
      <c r="B4" s="3"/>
      <c r="C4" s="3"/>
    </row>
    <row r="5" customFormat="false" ht="49.5" hidden="false" customHeight="true" outlineLevel="0" collapsed="false">
      <c r="A5" s="4" t="s">
        <v>3</v>
      </c>
      <c r="B5" s="4"/>
      <c r="C5" s="4"/>
    </row>
    <row r="6" customFormat="false" ht="13.5" hidden="false" customHeight="true" outlineLevel="0" collapsed="false"/>
    <row r="7" customFormat="false" ht="15.75" hidden="false" customHeight="true" outlineLevel="0" collapsed="false">
      <c r="A7" s="3" t="s">
        <v>4</v>
      </c>
      <c r="B7" s="3"/>
      <c r="C7" s="3"/>
    </row>
    <row r="8" customFormat="false" ht="27.75" hidden="false" customHeight="true" outlineLevel="0" collapsed="false">
      <c r="A8" s="5" t="s">
        <v>5</v>
      </c>
      <c r="B8" s="6" t="s">
        <v>6</v>
      </c>
    </row>
    <row r="9" customFormat="false" ht="27.75" hidden="false" customHeight="true" outlineLevel="0" collapsed="false">
      <c r="A9" s="5" t="s">
        <v>7</v>
      </c>
      <c r="B9" s="6" t="s">
        <v>8</v>
      </c>
    </row>
    <row r="10" customFormat="false" ht="33.75" hidden="false" customHeight="true" outlineLevel="0" collapsed="false">
      <c r="A10" s="5" t="s">
        <v>9</v>
      </c>
      <c r="B10" s="6" t="s">
        <v>10</v>
      </c>
    </row>
    <row r="11" customFormat="false" ht="13.5" hidden="false" customHeight="true" outlineLevel="0" collapsed="false"/>
    <row r="12" customFormat="false" ht="15.75" hidden="false" customHeight="true" outlineLevel="0" collapsed="false">
      <c r="A12" s="3" t="s">
        <v>11</v>
      </c>
      <c r="B12" s="3"/>
      <c r="C12" s="3"/>
    </row>
    <row r="13" customFormat="false" ht="39.75" hidden="false" customHeight="true" outlineLevel="0" collapsed="false">
      <c r="A13" s="5" t="s">
        <v>12</v>
      </c>
      <c r="B13" s="6" t="s">
        <v>13</v>
      </c>
    </row>
    <row r="14" customFormat="false" ht="39.75" hidden="false" customHeight="true" outlineLevel="0" collapsed="false">
      <c r="A14" s="5" t="s">
        <v>14</v>
      </c>
      <c r="B14" s="6" t="s">
        <v>15</v>
      </c>
    </row>
    <row r="15" customFormat="false" ht="39.75" hidden="false" customHeight="true" outlineLevel="0" collapsed="false">
      <c r="A15" s="5" t="s">
        <v>16</v>
      </c>
      <c r="B15" s="6" t="s">
        <v>17</v>
      </c>
    </row>
    <row r="16" customFormat="false" ht="39.75" hidden="false" customHeight="true" outlineLevel="0" collapsed="false">
      <c r="A16" s="5" t="s">
        <v>18</v>
      </c>
      <c r="B16" s="6" t="s">
        <v>19</v>
      </c>
    </row>
    <row r="17" customFormat="false" ht="39.75" hidden="false" customHeight="true" outlineLevel="0" collapsed="false">
      <c r="A17" s="5" t="s">
        <v>20</v>
      </c>
      <c r="B17" s="6" t="s">
        <v>21</v>
      </c>
    </row>
    <row r="18" customFormat="false" ht="39.75" hidden="false" customHeight="true" outlineLevel="0" collapsed="false">
      <c r="A18" s="5" t="s">
        <v>22</v>
      </c>
      <c r="B18" s="6" t="s">
        <v>23</v>
      </c>
    </row>
    <row r="19" customFormat="false" ht="39.75" hidden="false" customHeight="true" outlineLevel="0" collapsed="false">
      <c r="A19" s="5" t="s">
        <v>24</v>
      </c>
      <c r="B19" s="6" t="s">
        <v>25</v>
      </c>
    </row>
  </sheetData>
  <mergeCells count="6">
    <mergeCell ref="A1:C1"/>
    <mergeCell ref="A2:C2"/>
    <mergeCell ref="A4:C4"/>
    <mergeCell ref="A5:C5"/>
    <mergeCell ref="A7:C7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94C"/>
    <pageSetUpPr fitToPage="tru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24" hidden="false" customHeight="true" outlineLevel="0" collapsed="false">
      <c r="A1" s="1" t="s">
        <v>26</v>
      </c>
      <c r="B1" s="1"/>
      <c r="C1" s="1"/>
      <c r="D1" s="1"/>
      <c r="E1" s="1"/>
    </row>
    <row r="2" customFormat="false" ht="39.75" hidden="false" customHeight="true" outlineLevel="0" collapsed="false">
      <c r="A2" s="2" t="s">
        <v>27</v>
      </c>
      <c r="B2" s="2"/>
      <c r="C2" s="2"/>
      <c r="D2" s="2"/>
      <c r="E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28</v>
      </c>
      <c r="B4" s="3"/>
      <c r="C4" s="3"/>
      <c r="D4" s="3"/>
      <c r="E4" s="3"/>
    </row>
    <row r="5" customFormat="false" ht="15" hidden="false" customHeight="true" outlineLevel="0" collapsed="false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</row>
    <row r="6" customFormat="false" ht="30" hidden="false" customHeight="true" outlineLevel="0" collapsed="false">
      <c r="A6" s="5" t="s">
        <v>34</v>
      </c>
      <c r="B6" s="8" t="n">
        <v>10718468</v>
      </c>
      <c r="C6" s="6" t="s">
        <v>35</v>
      </c>
      <c r="D6" s="9" t="s">
        <v>36</v>
      </c>
      <c r="E6" s="10" t="s">
        <v>37</v>
      </c>
    </row>
    <row r="7" customFormat="false" ht="30" hidden="false" customHeight="true" outlineLevel="0" collapsed="false">
      <c r="A7" s="5" t="s">
        <v>38</v>
      </c>
      <c r="B7" s="8" t="n">
        <v>10637766</v>
      </c>
      <c r="C7" s="6" t="s">
        <v>35</v>
      </c>
      <c r="D7" s="9" t="s">
        <v>39</v>
      </c>
      <c r="E7" s="10" t="s">
        <v>40</v>
      </c>
    </row>
    <row r="8" customFormat="false" ht="30" hidden="false" customHeight="true" outlineLevel="0" collapsed="false">
      <c r="A8" s="5" t="s">
        <v>41</v>
      </c>
      <c r="B8" s="8" t="n">
        <v>11300000</v>
      </c>
      <c r="C8" s="6" t="s">
        <v>35</v>
      </c>
      <c r="D8" s="9" t="s">
        <v>42</v>
      </c>
      <c r="E8" s="10" t="s">
        <v>43</v>
      </c>
    </row>
    <row r="9" customFormat="false" ht="30" hidden="false" customHeight="true" outlineLevel="0" collapsed="false">
      <c r="A9" s="5" t="s">
        <v>44</v>
      </c>
      <c r="B9" s="8" t="n">
        <v>581532</v>
      </c>
      <c r="C9" s="6" t="s">
        <v>35</v>
      </c>
      <c r="D9" s="9" t="s">
        <v>45</v>
      </c>
      <c r="E9" s="10" t="s">
        <v>46</v>
      </c>
    </row>
    <row r="10" customFormat="false" ht="30" hidden="false" customHeight="true" outlineLevel="0" collapsed="false">
      <c r="A10" s="5" t="s">
        <v>47</v>
      </c>
      <c r="B10" s="11" t="n">
        <v>0.593</v>
      </c>
      <c r="C10" s="6" t="s">
        <v>48</v>
      </c>
      <c r="D10" s="9" t="s">
        <v>49</v>
      </c>
      <c r="E10" s="10" t="s">
        <v>50</v>
      </c>
    </row>
    <row r="11" customFormat="false" ht="30" hidden="false" customHeight="true" outlineLevel="0" collapsed="false">
      <c r="A11" s="5" t="s">
        <v>51</v>
      </c>
      <c r="B11" s="8" t="n">
        <v>5510664</v>
      </c>
      <c r="C11" s="6" t="s">
        <v>52</v>
      </c>
      <c r="D11" s="9" t="s">
        <v>53</v>
      </c>
      <c r="E11" s="10" t="s">
        <v>54</v>
      </c>
    </row>
    <row r="12" customFormat="false" ht="30" hidden="false" customHeight="true" outlineLevel="0" collapsed="false">
      <c r="A12" s="5" t="s">
        <v>55</v>
      </c>
      <c r="B12" s="8" t="n">
        <v>7512656</v>
      </c>
      <c r="C12" s="6" t="s">
        <v>52</v>
      </c>
      <c r="D12" s="9" t="s">
        <v>56</v>
      </c>
      <c r="E12" s="10" t="s">
        <v>57</v>
      </c>
    </row>
    <row r="13" customFormat="false" ht="30" hidden="false" customHeight="true" outlineLevel="0" collapsed="false">
      <c r="A13" s="5" t="s">
        <v>58</v>
      </c>
      <c r="B13" s="8" t="n">
        <v>871753</v>
      </c>
      <c r="C13" s="6" t="s">
        <v>35</v>
      </c>
      <c r="D13" s="9" t="s">
        <v>59</v>
      </c>
      <c r="E13" s="10" t="s">
        <v>60</v>
      </c>
    </row>
    <row r="14" customFormat="false" ht="13.5" hidden="false" customHeight="true" outlineLevel="0" collapsed="false"/>
    <row r="15" customFormat="false" ht="15.75" hidden="false" customHeight="true" outlineLevel="0" collapsed="false">
      <c r="A15" s="3" t="s">
        <v>61</v>
      </c>
      <c r="B15" s="3"/>
      <c r="C15" s="3"/>
      <c r="D15" s="3"/>
      <c r="E15" s="3"/>
    </row>
    <row r="16" customFormat="false" ht="15" hidden="false" customHeight="true" outlineLevel="0" collapsed="false">
      <c r="A16" s="7" t="s">
        <v>29</v>
      </c>
      <c r="B16" s="7" t="s">
        <v>30</v>
      </c>
      <c r="C16" s="7" t="s">
        <v>31</v>
      </c>
      <c r="D16" s="7" t="s">
        <v>32</v>
      </c>
      <c r="E16" s="7" t="s">
        <v>33</v>
      </c>
    </row>
    <row r="17" customFormat="false" ht="30" hidden="false" customHeight="true" outlineLevel="0" collapsed="false">
      <c r="A17" s="5" t="s">
        <v>62</v>
      </c>
      <c r="B17" s="12" t="n">
        <v>272.44</v>
      </c>
      <c r="C17" s="6" t="s">
        <v>63</v>
      </c>
      <c r="D17" s="9" t="s">
        <v>64</v>
      </c>
      <c r="E17" s="10" t="s">
        <v>65</v>
      </c>
    </row>
    <row r="18" customFormat="false" ht="30" hidden="false" customHeight="true" outlineLevel="0" collapsed="false">
      <c r="A18" s="5" t="s">
        <v>66</v>
      </c>
      <c r="B18" s="12" t="n">
        <v>284.56</v>
      </c>
      <c r="C18" s="6" t="s">
        <v>63</v>
      </c>
      <c r="D18" s="9" t="s">
        <v>67</v>
      </c>
      <c r="E18" s="10" t="s">
        <v>68</v>
      </c>
    </row>
    <row r="19" customFormat="false" ht="30" hidden="false" customHeight="true" outlineLevel="0" collapsed="false">
      <c r="A19" s="5" t="s">
        <v>69</v>
      </c>
      <c r="B19" s="11" t="n">
        <v>0.024</v>
      </c>
      <c r="C19" s="6" t="s">
        <v>70</v>
      </c>
      <c r="D19" s="9" t="s">
        <v>67</v>
      </c>
      <c r="E19" s="10" t="s">
        <v>71</v>
      </c>
    </row>
    <row r="20" customFormat="false" ht="30" hidden="false" customHeight="true" outlineLevel="0" collapsed="false">
      <c r="A20" s="5" t="s">
        <v>72</v>
      </c>
      <c r="B20" s="12" t="n">
        <v>8.76</v>
      </c>
      <c r="C20" s="6" t="s">
        <v>73</v>
      </c>
      <c r="D20" s="9" t="s">
        <v>74</v>
      </c>
      <c r="E20" s="10" t="s">
        <v>75</v>
      </c>
    </row>
    <row r="21" customFormat="false" ht="25.5" hidden="false" customHeight="true" outlineLevel="0" collapsed="false">
      <c r="A21" s="5" t="s">
        <v>76</v>
      </c>
      <c r="B21" s="13" t="n">
        <f aca="false">Benchmarks_Public!B17*(1+Benchmarks_Public!B19)</f>
        <v>278.97856</v>
      </c>
      <c r="C21" s="6" t="s">
        <v>63</v>
      </c>
      <c r="D21" s="9" t="s">
        <v>77</v>
      </c>
      <c r="E21" s="10" t="s">
        <v>78</v>
      </c>
    </row>
    <row r="22" customFormat="false" ht="13.5" hidden="false" customHeight="true" outlineLevel="0" collapsed="false"/>
    <row r="23" customFormat="false" ht="15.75" hidden="false" customHeight="true" outlineLevel="0" collapsed="false">
      <c r="A23" s="3" t="s">
        <v>79</v>
      </c>
      <c r="B23" s="3"/>
      <c r="C23" s="3"/>
      <c r="D23" s="3"/>
      <c r="E23" s="3"/>
    </row>
    <row r="24" customFormat="false" ht="36" hidden="false" customHeight="true" outlineLevel="0" collapsed="false">
      <c r="A24" s="7" t="s">
        <v>80</v>
      </c>
      <c r="B24" s="7" t="s">
        <v>81</v>
      </c>
      <c r="C24" s="7" t="s">
        <v>82</v>
      </c>
      <c r="D24" s="7" t="s">
        <v>83</v>
      </c>
      <c r="E24" s="7" t="s">
        <v>84</v>
      </c>
    </row>
    <row r="25" customFormat="false" ht="24" hidden="false" customHeight="true" outlineLevel="0" collapsed="false">
      <c r="A25" s="5" t="s">
        <v>85</v>
      </c>
      <c r="B25" s="14" t="n">
        <v>1.2</v>
      </c>
      <c r="C25" s="13" t="n">
        <f aca="false">Benchmarks_Public!B17*B25</f>
        <v>326.928</v>
      </c>
      <c r="D25" s="12" t="n">
        <v>327.72</v>
      </c>
      <c r="E25" s="10" t="s">
        <v>86</v>
      </c>
    </row>
    <row r="26" customFormat="false" ht="24" hidden="false" customHeight="true" outlineLevel="0" collapsed="false">
      <c r="A26" s="5" t="s">
        <v>87</v>
      </c>
      <c r="B26" s="14" t="n">
        <v>1.9</v>
      </c>
      <c r="C26" s="13" t="n">
        <f aca="false">Benchmarks_Public!B17*B26</f>
        <v>517.636</v>
      </c>
      <c r="D26" s="12" t="n">
        <v>522.51</v>
      </c>
      <c r="E26" s="10" t="s">
        <v>86</v>
      </c>
    </row>
    <row r="27" customFormat="false" ht="24" hidden="false" customHeight="true" outlineLevel="0" collapsed="false">
      <c r="A27" s="5" t="s">
        <v>88</v>
      </c>
      <c r="B27" s="14" t="n">
        <v>1</v>
      </c>
      <c r="C27" s="13" t="n">
        <f aca="false">Benchmarks_Public!B17*B27</f>
        <v>272.44</v>
      </c>
      <c r="D27" s="12" t="n">
        <v>260.65</v>
      </c>
      <c r="E27" s="10" t="s">
        <v>86</v>
      </c>
    </row>
    <row r="28" customFormat="false" ht="24" hidden="false" customHeight="true" outlineLevel="0" collapsed="false">
      <c r="A28" s="5" t="s">
        <v>89</v>
      </c>
      <c r="B28" s="14" t="n">
        <v>1.6</v>
      </c>
      <c r="C28" s="13" t="n">
        <f aca="false">Benchmarks_Public!B17*B28</f>
        <v>435.904</v>
      </c>
      <c r="D28" s="12" t="n">
        <v>446.94</v>
      </c>
      <c r="E28" s="10" t="s">
        <v>86</v>
      </c>
    </row>
    <row r="29" customFormat="false" ht="24" hidden="false" customHeight="true" outlineLevel="0" collapsed="false">
      <c r="A29" s="5" t="s">
        <v>90</v>
      </c>
      <c r="B29" s="14" t="n">
        <v>2.75</v>
      </c>
      <c r="C29" s="13" t="n">
        <f aca="false">Benchmarks_Public!B17*B29</f>
        <v>749.21</v>
      </c>
      <c r="D29" s="12" t="n">
        <v>753.58</v>
      </c>
      <c r="E29" s="10" t="s">
        <v>86</v>
      </c>
    </row>
    <row r="30" customFormat="false" ht="24" hidden="false" customHeight="true" outlineLevel="0" collapsed="false">
      <c r="A30" s="5" t="s">
        <v>91</v>
      </c>
      <c r="B30" s="14" t="n">
        <v>3.25</v>
      </c>
      <c r="C30" s="13" t="n">
        <f aca="false">Benchmarks_Public!B17*B30</f>
        <v>885.43</v>
      </c>
      <c r="D30" s="12" t="n">
        <v>918.36</v>
      </c>
      <c r="E30" s="10" t="s">
        <v>86</v>
      </c>
    </row>
    <row r="31" customFormat="false" ht="24" hidden="false" customHeight="true" outlineLevel="0" collapsed="false">
      <c r="A31" s="4" t="s">
        <v>92</v>
      </c>
      <c r="B31" s="4"/>
      <c r="C31" s="4"/>
      <c r="D31" s="4"/>
      <c r="E31" s="4"/>
    </row>
    <row r="32" customFormat="false" ht="13.5" hidden="false" customHeight="true" outlineLevel="0" collapsed="false"/>
    <row r="33" customFormat="false" ht="15.75" hidden="false" customHeight="true" outlineLevel="0" collapsed="false">
      <c r="A33" s="3" t="s">
        <v>93</v>
      </c>
      <c r="B33" s="3"/>
      <c r="C33" s="3"/>
      <c r="D33" s="3"/>
      <c r="E33" s="3"/>
    </row>
    <row r="34" customFormat="false" ht="15" hidden="false" customHeight="true" outlineLevel="0" collapsed="false">
      <c r="A34" s="7" t="s">
        <v>29</v>
      </c>
      <c r="B34" s="7" t="s">
        <v>30</v>
      </c>
      <c r="C34" s="7" t="s">
        <v>31</v>
      </c>
      <c r="D34" s="7" t="s">
        <v>32</v>
      </c>
      <c r="E34" s="7" t="s">
        <v>33</v>
      </c>
    </row>
    <row r="35" customFormat="false" ht="30" hidden="false" customHeight="true" outlineLevel="0" collapsed="false">
      <c r="A35" s="5" t="s">
        <v>94</v>
      </c>
      <c r="B35" s="12" t="n">
        <v>265.34</v>
      </c>
      <c r="C35" s="6" t="s">
        <v>95</v>
      </c>
      <c r="D35" s="9" t="s">
        <v>96</v>
      </c>
      <c r="E35" s="10" t="s">
        <v>97</v>
      </c>
    </row>
    <row r="36" customFormat="false" ht="30" hidden="false" customHeight="true" outlineLevel="0" collapsed="false">
      <c r="A36" s="5" t="s">
        <v>98</v>
      </c>
      <c r="B36" s="15" t="n">
        <v>1.038</v>
      </c>
      <c r="C36" s="6" t="s">
        <v>99</v>
      </c>
      <c r="D36" s="9" t="s">
        <v>100</v>
      </c>
      <c r="E36" s="10" t="s">
        <v>101</v>
      </c>
    </row>
    <row r="37" customFormat="false" ht="30" hidden="false" customHeight="true" outlineLevel="0" collapsed="false">
      <c r="A37" s="5" t="s">
        <v>102</v>
      </c>
      <c r="B37" s="16" t="n">
        <v>2673</v>
      </c>
      <c r="C37" s="6" t="s">
        <v>103</v>
      </c>
      <c r="D37" s="9" t="s">
        <v>104</v>
      </c>
      <c r="E37" s="10" t="s">
        <v>105</v>
      </c>
    </row>
    <row r="38" customFormat="false" ht="30" hidden="false" customHeight="true" outlineLevel="0" collapsed="false">
      <c r="A38" s="5" t="s">
        <v>106</v>
      </c>
      <c r="B38" s="16" t="n">
        <v>1340</v>
      </c>
      <c r="C38" s="6" t="s">
        <v>103</v>
      </c>
      <c r="D38" s="9" t="s">
        <v>104</v>
      </c>
      <c r="E38" s="10" t="s">
        <v>107</v>
      </c>
    </row>
    <row r="39" customFormat="false" ht="30" hidden="false" customHeight="true" outlineLevel="0" collapsed="false">
      <c r="A39" s="5" t="s">
        <v>108</v>
      </c>
      <c r="B39" s="11" t="n">
        <v>0.129</v>
      </c>
      <c r="C39" s="6" t="s">
        <v>48</v>
      </c>
      <c r="D39" s="9" t="s">
        <v>109</v>
      </c>
      <c r="E39" s="10" t="s">
        <v>110</v>
      </c>
    </row>
    <row r="40" customFormat="false" ht="30" hidden="false" customHeight="true" outlineLevel="0" collapsed="false">
      <c r="A40" s="5" t="s">
        <v>111</v>
      </c>
      <c r="B40" s="11" t="n">
        <v>0.186</v>
      </c>
      <c r="C40" s="6" t="s">
        <v>48</v>
      </c>
      <c r="D40" s="9" t="s">
        <v>112</v>
      </c>
      <c r="E40" s="10" t="s">
        <v>113</v>
      </c>
    </row>
    <row r="41" customFormat="false" ht="24" hidden="false" customHeight="true" outlineLevel="0" collapsed="false">
      <c r="A41" s="4" t="s">
        <v>114</v>
      </c>
      <c r="B41" s="4"/>
      <c r="C41" s="4"/>
      <c r="D41" s="4"/>
      <c r="E41" s="4"/>
    </row>
  </sheetData>
  <mergeCells count="8">
    <mergeCell ref="A1:E1"/>
    <mergeCell ref="A2:E2"/>
    <mergeCell ref="A4:E4"/>
    <mergeCell ref="A15:E15"/>
    <mergeCell ref="A23:E23"/>
    <mergeCell ref="A31:E31"/>
    <mergeCell ref="A33:E33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B00"/>
    <pageSetUpPr fitToPage="tru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4"/>
  </cols>
  <sheetData>
    <row r="1" customFormat="false" ht="24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51.75" hidden="false" customHeight="true" outlineLevel="0" collapsed="false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117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7" t="s">
        <v>118</v>
      </c>
      <c r="B5" s="7" t="s">
        <v>119</v>
      </c>
      <c r="C5" s="7" t="s">
        <v>120</v>
      </c>
      <c r="D5" s="7" t="s">
        <v>121</v>
      </c>
      <c r="E5" s="7" t="s">
        <v>122</v>
      </c>
      <c r="F5" s="7"/>
      <c r="G5" s="7"/>
      <c r="H5" s="7"/>
      <c r="I5" s="7"/>
      <c r="J5" s="7"/>
    </row>
    <row r="6" customFormat="false" ht="21.75" hidden="false" customHeight="true" outlineLevel="0" collapsed="false">
      <c r="A6" s="17" t="s">
        <v>123</v>
      </c>
      <c r="B6" s="18" t="n">
        <v>47061988</v>
      </c>
      <c r="C6" s="19" t="n">
        <v>9435317565</v>
      </c>
      <c r="D6" s="19" t="n">
        <v>12536776941</v>
      </c>
      <c r="E6" s="19" t="n">
        <v>14320080327</v>
      </c>
    </row>
    <row r="7" customFormat="false" ht="13.5" hidden="false" customHeight="true" outlineLevel="0" collapsed="false"/>
    <row r="8" customFormat="false" ht="15.75" hidden="false" customHeight="true" outlineLevel="0" collapsed="false">
      <c r="A8" s="3" t="s">
        <v>124</v>
      </c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7" t="s">
        <v>125</v>
      </c>
      <c r="B9" s="7" t="s">
        <v>119</v>
      </c>
      <c r="C9" s="7" t="s">
        <v>122</v>
      </c>
      <c r="D9" s="7"/>
      <c r="E9" s="7"/>
      <c r="F9" s="7"/>
      <c r="G9" s="7"/>
      <c r="H9" s="7"/>
      <c r="I9" s="7"/>
      <c r="J9" s="7"/>
    </row>
    <row r="10" customFormat="false" ht="19.5" hidden="false" customHeight="true" outlineLevel="0" collapsed="false">
      <c r="A10" s="17" t="s">
        <v>126</v>
      </c>
      <c r="B10" s="18" t="n">
        <v>8044685</v>
      </c>
      <c r="C10" s="19" t="n">
        <v>4019680332</v>
      </c>
    </row>
    <row r="11" customFormat="false" ht="19.5" hidden="false" customHeight="true" outlineLevel="0" collapsed="false">
      <c r="A11" s="17" t="s">
        <v>127</v>
      </c>
      <c r="B11" s="18" t="n">
        <v>28660137</v>
      </c>
      <c r="C11" s="19" t="n">
        <v>7885341451</v>
      </c>
    </row>
    <row r="12" customFormat="false" ht="19.5" hidden="false" customHeight="true" outlineLevel="0" collapsed="false">
      <c r="A12" s="17" t="s">
        <v>128</v>
      </c>
      <c r="B12" s="18" t="n">
        <v>10357334</v>
      </c>
      <c r="C12" s="19" t="n">
        <v>2415058544</v>
      </c>
    </row>
    <row r="13" customFormat="false" ht="13.5" hidden="false" customHeight="true" outlineLevel="0" collapsed="false"/>
    <row r="14" customFormat="false" ht="15.75" hidden="false" customHeight="true" outlineLevel="0" collapsed="false">
      <c r="A14" s="3" t="s">
        <v>129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7" t="s">
        <v>130</v>
      </c>
      <c r="B15" s="7" t="s">
        <v>119</v>
      </c>
      <c r="C15" s="7" t="s">
        <v>122</v>
      </c>
      <c r="D15" s="7"/>
      <c r="E15" s="7"/>
      <c r="F15" s="7"/>
      <c r="G15" s="7"/>
      <c r="H15" s="7"/>
      <c r="I15" s="7"/>
      <c r="J15" s="7"/>
    </row>
    <row r="16" customFormat="false" ht="19.5" hidden="false" customHeight="true" outlineLevel="0" collapsed="false">
      <c r="A16" s="17" t="s">
        <v>131</v>
      </c>
      <c r="B16" s="18" t="n">
        <v>37710269</v>
      </c>
      <c r="C16" s="19" t="n">
        <v>11410000000</v>
      </c>
    </row>
    <row r="17" customFormat="false" ht="19.5" hidden="false" customHeight="true" outlineLevel="0" collapsed="false">
      <c r="A17" s="17" t="s">
        <v>132</v>
      </c>
      <c r="B17" s="18" t="n">
        <v>9351749</v>
      </c>
      <c r="C17" s="19" t="n">
        <v>2910000000</v>
      </c>
    </row>
    <row r="18" customFormat="false" ht="24" hidden="false" customHeight="true" outlineLevel="0" collapsed="false">
      <c r="A18" s="4" t="s">
        <v>133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3.5" hidden="false" customHeight="true" outlineLevel="0" collapsed="false"/>
    <row r="20" customFormat="false" ht="15.75" hidden="false" customHeight="true" outlineLevel="0" collapsed="false">
      <c r="A20" s="3" t="s">
        <v>134</v>
      </c>
      <c r="B20" s="3"/>
      <c r="C20" s="3"/>
      <c r="D20" s="3"/>
      <c r="E20" s="3"/>
      <c r="F20" s="3"/>
      <c r="G20" s="3"/>
      <c r="H20" s="3"/>
      <c r="I20" s="3"/>
      <c r="J20" s="3"/>
    </row>
    <row r="21" customFormat="false" ht="25.5" hidden="false" customHeight="true" outlineLevel="0" collapsed="false">
      <c r="A21" s="7" t="s">
        <v>135</v>
      </c>
      <c r="B21" s="7" t="s">
        <v>136</v>
      </c>
      <c r="C21" s="7" t="s">
        <v>137</v>
      </c>
      <c r="D21" s="7" t="s">
        <v>138</v>
      </c>
      <c r="E21" s="7" t="s">
        <v>139</v>
      </c>
      <c r="F21" s="7" t="s">
        <v>140</v>
      </c>
      <c r="G21" s="7" t="s">
        <v>141</v>
      </c>
      <c r="H21" s="7" t="s">
        <v>142</v>
      </c>
      <c r="I21" s="7" t="s">
        <v>143</v>
      </c>
      <c r="J21" s="7"/>
    </row>
    <row r="22" customFormat="false" ht="19.5" hidden="false" customHeight="true" outlineLevel="0" collapsed="false">
      <c r="A22" s="17" t="s">
        <v>144</v>
      </c>
      <c r="B22" s="18" t="n">
        <v>24881351</v>
      </c>
      <c r="C22" s="20" t="s">
        <v>145</v>
      </c>
      <c r="D22" s="20" t="s">
        <v>145</v>
      </c>
      <c r="E22" s="20" t="s">
        <v>145</v>
      </c>
      <c r="F22" s="18" t="n">
        <v>14723330</v>
      </c>
      <c r="G22" s="20" t="s">
        <v>145</v>
      </c>
      <c r="H22" s="20" t="s">
        <v>145</v>
      </c>
      <c r="I22" s="20" t="s">
        <v>145</v>
      </c>
    </row>
    <row r="23" customFormat="false" ht="19.5" hidden="false" customHeight="true" outlineLevel="0" collapsed="false">
      <c r="A23" s="17" t="s">
        <v>146</v>
      </c>
      <c r="B23" s="18" t="n">
        <v>632029</v>
      </c>
      <c r="C23" s="19" t="n">
        <v>259868460</v>
      </c>
      <c r="D23" s="18" t="n">
        <v>153934</v>
      </c>
      <c r="E23" s="19" t="n">
        <v>96400641</v>
      </c>
      <c r="F23" s="18" t="n">
        <v>388782</v>
      </c>
      <c r="G23" s="19" t="n">
        <v>132434413</v>
      </c>
      <c r="H23" s="20" t="s">
        <v>145</v>
      </c>
      <c r="I23" s="20" t="s">
        <v>145</v>
      </c>
    </row>
    <row r="24" customFormat="false" ht="19.5" hidden="false" customHeight="true" outlineLevel="0" collapsed="false">
      <c r="A24" s="17" t="s">
        <v>147</v>
      </c>
      <c r="B24" s="18" t="n">
        <v>8919408</v>
      </c>
      <c r="C24" s="19" t="n">
        <v>5250804433</v>
      </c>
      <c r="D24" s="20" t="s">
        <v>145</v>
      </c>
      <c r="E24" s="20" t="s">
        <v>145</v>
      </c>
      <c r="F24" s="18" t="n">
        <v>5376326</v>
      </c>
      <c r="G24" s="19" t="n">
        <v>2841911845</v>
      </c>
      <c r="H24" s="20" t="s">
        <v>145</v>
      </c>
      <c r="I24" s="20" t="s">
        <v>145</v>
      </c>
    </row>
    <row r="25" customFormat="false" ht="19.5" hidden="false" customHeight="true" outlineLevel="0" collapsed="false">
      <c r="A25" s="17" t="s">
        <v>148</v>
      </c>
      <c r="B25" s="18" t="n">
        <v>5409977</v>
      </c>
      <c r="C25" s="19" t="n">
        <v>1826100921</v>
      </c>
      <c r="D25" s="18" t="n">
        <v>539246</v>
      </c>
      <c r="E25" s="19" t="n">
        <v>287519936</v>
      </c>
      <c r="F25" s="18" t="n">
        <v>4178527</v>
      </c>
      <c r="G25" s="19" t="n">
        <v>1327883745</v>
      </c>
      <c r="H25" s="18" t="n">
        <v>692218</v>
      </c>
      <c r="I25" s="19" t="n">
        <v>210697240</v>
      </c>
    </row>
    <row r="26" customFormat="false" ht="19.5" hidden="false" customHeight="true" outlineLevel="0" collapsed="false">
      <c r="A26" s="17" t="s">
        <v>149</v>
      </c>
      <c r="B26" s="20" t="s">
        <v>145</v>
      </c>
      <c r="C26" s="20" t="s">
        <v>145</v>
      </c>
      <c r="D26" s="20" t="s">
        <v>145</v>
      </c>
      <c r="E26" s="20" t="s">
        <v>145</v>
      </c>
      <c r="F26" s="20" t="s">
        <v>145</v>
      </c>
      <c r="G26" s="20" t="s">
        <v>145</v>
      </c>
      <c r="H26" s="20" t="s">
        <v>145</v>
      </c>
      <c r="I26" s="20" t="s">
        <v>145</v>
      </c>
    </row>
    <row r="27" customFormat="false" ht="19.5" hidden="false" customHeight="true" outlineLevel="0" collapsed="false">
      <c r="A27" s="17" t="s">
        <v>150</v>
      </c>
      <c r="B27" s="20" t="s">
        <v>145</v>
      </c>
      <c r="C27" s="20" t="s">
        <v>145</v>
      </c>
      <c r="D27" s="20" t="s">
        <v>145</v>
      </c>
      <c r="E27" s="20" t="s">
        <v>145</v>
      </c>
      <c r="F27" s="20" t="s">
        <v>145</v>
      </c>
      <c r="G27" s="20" t="s">
        <v>145</v>
      </c>
      <c r="H27" s="20" t="s">
        <v>145</v>
      </c>
      <c r="I27" s="20" t="s">
        <v>145</v>
      </c>
    </row>
    <row r="28" customFormat="false" ht="19.5" hidden="false" customHeight="true" outlineLevel="0" collapsed="false">
      <c r="A28" s="17" t="s">
        <v>151</v>
      </c>
      <c r="B28" s="18" t="n">
        <v>262139</v>
      </c>
      <c r="C28" s="19" t="n">
        <v>329191232</v>
      </c>
      <c r="D28" s="18" t="n">
        <v>69191</v>
      </c>
      <c r="E28" s="19" t="n">
        <v>152729421</v>
      </c>
      <c r="F28" s="18" t="n">
        <v>140010</v>
      </c>
      <c r="G28" s="19" t="n">
        <v>137165403</v>
      </c>
      <c r="H28" s="18" t="n">
        <v>52938</v>
      </c>
      <c r="I28" s="19" t="n">
        <v>39296408</v>
      </c>
    </row>
    <row r="29" customFormat="false" ht="13.5" hidden="false" customHeight="true" outlineLevel="0" collapsed="false"/>
    <row r="30" customFormat="false" ht="15.75" hidden="false" customHeight="true" outlineLevel="0" collapsed="false">
      <c r="A30" s="3" t="s">
        <v>152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39.75" hidden="false" customHeight="true" outlineLevel="0" collapsed="false">
      <c r="A31" s="5" t="s">
        <v>153</v>
      </c>
      <c r="B31" s="10" t="s">
        <v>154</v>
      </c>
    </row>
    <row r="32" customFormat="false" ht="19.5" hidden="false" customHeight="true" outlineLevel="0" collapsed="false">
      <c r="A32" s="17" t="s">
        <v>155</v>
      </c>
      <c r="B32" s="20" t="s">
        <v>145</v>
      </c>
    </row>
  </sheetData>
  <mergeCells count="8">
    <mergeCell ref="A1:J1"/>
    <mergeCell ref="A2:J2"/>
    <mergeCell ref="A4:J4"/>
    <mergeCell ref="A8:J8"/>
    <mergeCell ref="A14:J14"/>
    <mergeCell ref="A18:J18"/>
    <mergeCell ref="A20:J20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24" hidden="false" customHeight="true" outlineLevel="0" collapsed="false">
      <c r="A1" s="1" t="s">
        <v>156</v>
      </c>
      <c r="B1" s="1"/>
      <c r="C1" s="1"/>
      <c r="D1" s="1"/>
    </row>
    <row r="2" customFormat="false" ht="48" hidden="false" customHeight="true" outlineLevel="0" collapsed="false">
      <c r="A2" s="2" t="s">
        <v>157</v>
      </c>
      <c r="B2" s="2"/>
      <c r="C2" s="2"/>
      <c r="D2" s="2"/>
    </row>
    <row r="3" customFormat="false" ht="13.5" hidden="false" customHeight="true" outlineLevel="0" collapsed="false"/>
    <row r="4" customFormat="false" ht="15" hidden="false" customHeight="true" outlineLevel="0" collapsed="false">
      <c r="A4" s="7" t="s">
        <v>158</v>
      </c>
      <c r="B4" s="7" t="s">
        <v>30</v>
      </c>
      <c r="C4" s="7" t="s">
        <v>31</v>
      </c>
      <c r="D4" s="7" t="s">
        <v>159</v>
      </c>
    </row>
    <row r="5" customFormat="false" ht="30" hidden="false" customHeight="true" outlineLevel="0" collapsed="false">
      <c r="A5" s="5" t="s">
        <v>160</v>
      </c>
      <c r="B5" s="21" t="n">
        <f aca="false">Observed_Inputs!B11-Observed_Inputs!F22</f>
        <v>13936807</v>
      </c>
      <c r="C5" s="6" t="s">
        <v>161</v>
      </c>
      <c r="D5" s="10" t="s">
        <v>162</v>
      </c>
    </row>
    <row r="6" customFormat="false" ht="30" hidden="false" customHeight="true" outlineLevel="0" collapsed="false">
      <c r="A6" s="5" t="s">
        <v>163</v>
      </c>
      <c r="B6" s="21" t="n">
        <f aca="false">Benchmarks_Public!B7</f>
        <v>10637766</v>
      </c>
      <c r="C6" s="6" t="s">
        <v>35</v>
      </c>
      <c r="D6" s="10" t="s">
        <v>164</v>
      </c>
    </row>
    <row r="7" customFormat="false" ht="30" hidden="false" customHeight="true" outlineLevel="0" collapsed="false">
      <c r="A7" s="5" t="s">
        <v>165</v>
      </c>
      <c r="B7" s="21" t="n">
        <f aca="false">Benchmarks_Public!B9</f>
        <v>581532</v>
      </c>
      <c r="C7" s="6" t="s">
        <v>35</v>
      </c>
      <c r="D7" s="10" t="s">
        <v>166</v>
      </c>
    </row>
    <row r="8" customFormat="false" ht="30" hidden="false" customHeight="true" outlineLevel="0" collapsed="false">
      <c r="A8" s="5" t="s">
        <v>167</v>
      </c>
      <c r="B8" s="21" t="n">
        <f aca="false">Benchmarks_Public!B7+Benchmarks_Public!B9</f>
        <v>11219298</v>
      </c>
      <c r="C8" s="6" t="s">
        <v>35</v>
      </c>
      <c r="D8" s="10" t="s">
        <v>168</v>
      </c>
    </row>
    <row r="9" customFormat="false" ht="30" hidden="false" customHeight="true" outlineLevel="0" collapsed="false">
      <c r="A9" s="5" t="s">
        <v>169</v>
      </c>
      <c r="B9" s="21" t="n">
        <f aca="false">T2_Medicare_Capture!B5-(Benchmarks_Public!B7+Benchmarks_Public!B9)</f>
        <v>2717509</v>
      </c>
      <c r="C9" s="6" t="s">
        <v>161</v>
      </c>
      <c r="D9" s="10" t="s">
        <v>170</v>
      </c>
    </row>
    <row r="10" customFormat="false" ht="30" hidden="false" customHeight="true" outlineLevel="0" collapsed="false">
      <c r="A10" s="5" t="s">
        <v>171</v>
      </c>
      <c r="B10" s="21" t="n">
        <f aca="false">(Benchmarks_Public!B7+Benchmarks_Public!B9)*(Benchmarks_Public!B10/(1-Benchmarks_Public!B10))</f>
        <v>16346544.7518428</v>
      </c>
      <c r="C10" s="6" t="s">
        <v>35</v>
      </c>
      <c r="D10" s="10" t="s">
        <v>172</v>
      </c>
    </row>
    <row r="11" customFormat="false" ht="30" hidden="false" customHeight="true" outlineLevel="0" collapsed="false">
      <c r="A11" s="5" t="s">
        <v>173</v>
      </c>
      <c r="B11" s="22" t="n">
        <f aca="false">T2_Medicare_Capture!B9/((Benchmarks_Public!B7+Benchmarks_Public!B9)*(Benchmarks_Public!B10/(1-Benchmarks_Public!B10)))</f>
        <v>0.166243633823206</v>
      </c>
      <c r="C11" s="6" t="s">
        <v>48</v>
      </c>
      <c r="D11" s="10" t="s">
        <v>174</v>
      </c>
    </row>
    <row r="12" customFormat="false" ht="30" hidden="false" customHeight="true" outlineLevel="0" collapsed="false">
      <c r="A12" s="5" t="s">
        <v>175</v>
      </c>
      <c r="B12" s="21" t="n">
        <f aca="false">(Benchmarks_Public!B7+Benchmarks_Public!B9)*(1+(Benchmarks_Public!B10/(1-Benchmarks_Public!B10)))</f>
        <v>27565842.7518428</v>
      </c>
      <c r="C12" s="6" t="s">
        <v>35</v>
      </c>
      <c r="D12" s="10" t="s">
        <v>176</v>
      </c>
    </row>
    <row r="13" customFormat="false" ht="30" hidden="false" customHeight="true" outlineLevel="0" collapsed="false">
      <c r="A13" s="5" t="s">
        <v>177</v>
      </c>
      <c r="B13" s="22" t="n">
        <f aca="false">T2_Medicare_Capture!B5/((Benchmarks_Public!B7+Benchmarks_Public!B9)*(1+(Benchmarks_Public!B10/(1-Benchmarks_Public!B10))))</f>
        <v>0.505582474857161</v>
      </c>
      <c r="C13" s="6" t="s">
        <v>48</v>
      </c>
      <c r="D13" s="10" t="s">
        <v>178</v>
      </c>
    </row>
    <row r="14" customFormat="false" ht="13.5" hidden="false" customHeight="true" outlineLevel="0" collapsed="false"/>
    <row r="15" customFormat="false" ht="15.75" hidden="false" customHeight="true" outlineLevel="0" collapsed="false">
      <c r="A15" s="3" t="s">
        <v>179</v>
      </c>
      <c r="B15" s="3"/>
      <c r="C15" s="3"/>
      <c r="D15" s="3"/>
    </row>
    <row r="16" customFormat="false" ht="60.75" hidden="false" customHeight="true" outlineLevel="0" collapsed="false">
      <c r="A16" s="4" t="s">
        <v>180</v>
      </c>
      <c r="B16" s="4"/>
      <c r="C16" s="4"/>
      <c r="D16" s="4"/>
    </row>
  </sheetData>
  <mergeCells count="4">
    <mergeCell ref="A1:D1"/>
    <mergeCell ref="A2:D2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330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7" min="4" style="0" width="16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182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/>
    <row r="4" customFormat="false" ht="25.5" hidden="false" customHeight="true" outlineLevel="0" collapsed="false">
      <c r="A4" s="7" t="s">
        <v>135</v>
      </c>
      <c r="B4" s="7" t="s">
        <v>183</v>
      </c>
      <c r="C4" s="7" t="s">
        <v>184</v>
      </c>
      <c r="D4" s="7" t="s">
        <v>185</v>
      </c>
      <c r="E4" s="7" t="s">
        <v>186</v>
      </c>
      <c r="F4" s="7" t="s">
        <v>187</v>
      </c>
      <c r="G4" s="7" t="s">
        <v>188</v>
      </c>
      <c r="H4" s="7" t="s">
        <v>189</v>
      </c>
    </row>
    <row r="5" customFormat="false" ht="31.5" hidden="false" customHeight="true" outlineLevel="0" collapsed="false">
      <c r="A5" s="5" t="s">
        <v>190</v>
      </c>
      <c r="B5" s="13" t="n">
        <f aca="false">Observed_Inputs!E23/Observed_Inputs!D23</f>
        <v>626.24657970299</v>
      </c>
      <c r="C5" s="23" t="n">
        <f aca="false">Observed_Inputs!E23/Observed_Inputs!D23/Benchmarks_Public!C25</f>
        <v>1.91554892729589</v>
      </c>
      <c r="D5" s="23" t="n">
        <f aca="false">Observed_Inputs!E23/Observed_Inputs!D23/Benchmarks_Public!D25</f>
        <v>1.91091962560414</v>
      </c>
      <c r="E5" s="10" t="s">
        <v>145</v>
      </c>
      <c r="F5" s="6" t="s">
        <v>191</v>
      </c>
      <c r="G5" s="6" t="s">
        <v>192</v>
      </c>
      <c r="H5" s="10" t="s">
        <v>193</v>
      </c>
    </row>
    <row r="6" customFormat="false" ht="31.5" hidden="false" customHeight="true" outlineLevel="0" collapsed="false">
      <c r="A6" s="5" t="s">
        <v>194</v>
      </c>
      <c r="B6" s="10" t="s">
        <v>145</v>
      </c>
      <c r="C6" s="10" t="s">
        <v>145</v>
      </c>
      <c r="D6" s="10" t="s">
        <v>145</v>
      </c>
      <c r="E6" s="10" t="s">
        <v>145</v>
      </c>
      <c r="F6" s="6" t="s">
        <v>191</v>
      </c>
      <c r="G6" s="6" t="s">
        <v>192</v>
      </c>
      <c r="H6" s="10" t="s">
        <v>195</v>
      </c>
    </row>
    <row r="7" customFormat="false" ht="31.5" hidden="false" customHeight="true" outlineLevel="0" collapsed="false">
      <c r="A7" s="5" t="s">
        <v>196</v>
      </c>
      <c r="B7" s="13" t="n">
        <f aca="false">Observed_Inputs!E25/Observed_Inputs!D25</f>
        <v>533.188815494227</v>
      </c>
      <c r="C7" s="23" t="n">
        <f aca="false">Observed_Inputs!E25/Observed_Inputs!D25/Benchmarks_Public!C27</f>
        <v>1.95708712191392</v>
      </c>
      <c r="D7" s="23" t="n">
        <f aca="false">Observed_Inputs!E25/Observed_Inputs!D25/Benchmarks_Public!D27</f>
        <v>2.04561218298188</v>
      </c>
      <c r="E7" s="10" t="s">
        <v>145</v>
      </c>
      <c r="F7" s="6" t="s">
        <v>191</v>
      </c>
      <c r="G7" s="6" t="s">
        <v>192</v>
      </c>
      <c r="H7" s="10" t="s">
        <v>193</v>
      </c>
    </row>
    <row r="8" customFormat="false" ht="31.5" hidden="false" customHeight="true" outlineLevel="0" collapsed="false">
      <c r="A8" s="5" t="s">
        <v>197</v>
      </c>
      <c r="B8" s="10" t="s">
        <v>145</v>
      </c>
      <c r="C8" s="10" t="s">
        <v>145</v>
      </c>
      <c r="D8" s="10" t="s">
        <v>145</v>
      </c>
      <c r="E8" s="10" t="s">
        <v>145</v>
      </c>
      <c r="F8" s="6" t="s">
        <v>191</v>
      </c>
      <c r="G8" s="6" t="s">
        <v>192</v>
      </c>
      <c r="H8" s="10" t="s">
        <v>195</v>
      </c>
    </row>
    <row r="9" customFormat="false" ht="31.5" hidden="false" customHeight="true" outlineLevel="0" collapsed="false">
      <c r="A9" s="5" t="s">
        <v>198</v>
      </c>
      <c r="B9" s="10" t="s">
        <v>145</v>
      </c>
      <c r="C9" s="10" t="s">
        <v>145</v>
      </c>
      <c r="D9" s="10" t="s">
        <v>145</v>
      </c>
      <c r="E9" s="10" t="s">
        <v>145</v>
      </c>
      <c r="F9" s="6" t="s">
        <v>191</v>
      </c>
      <c r="G9" s="6" t="s">
        <v>192</v>
      </c>
      <c r="H9" s="10" t="s">
        <v>195</v>
      </c>
    </row>
    <row r="10" customFormat="false" ht="31.5" hidden="false" customHeight="true" outlineLevel="0" collapsed="false">
      <c r="A10" s="5" t="s">
        <v>199</v>
      </c>
      <c r="B10" s="13" t="n">
        <f aca="false">Observed_Inputs!E28/Observed_Inputs!D28</f>
        <v>2207.35964214999</v>
      </c>
      <c r="C10" s="23" t="n">
        <f aca="false">Observed_Inputs!E28/Observed_Inputs!D28/Benchmarks_Public!C30</f>
        <v>2.49298040742915</v>
      </c>
      <c r="D10" s="23" t="n">
        <f aca="false">Observed_Inputs!E28/Observed_Inputs!D28/Benchmarks_Public!D30</f>
        <v>2.40358861682781</v>
      </c>
      <c r="E10" s="10" t="s">
        <v>145</v>
      </c>
      <c r="F10" s="6" t="s">
        <v>191</v>
      </c>
      <c r="G10" s="6" t="s">
        <v>192</v>
      </c>
      <c r="H10" s="10" t="s">
        <v>193</v>
      </c>
    </row>
    <row r="11" customFormat="false" ht="13.5" hidden="false" customHeight="true" outlineLevel="0" collapsed="false"/>
    <row r="12" customFormat="false" ht="37.5" hidden="false" customHeight="true" outlineLevel="0" collapsed="false">
      <c r="A12" s="4" t="s">
        <v>200</v>
      </c>
      <c r="B12" s="4"/>
      <c r="C12" s="4"/>
      <c r="D12" s="4"/>
      <c r="E12" s="4"/>
      <c r="F12" s="4"/>
      <c r="G12" s="4"/>
      <c r="H12" s="4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24" hidden="false" customHeight="true" outlineLevel="0" collapsed="false">
      <c r="A1" s="1" t="s">
        <v>201</v>
      </c>
      <c r="B1" s="1"/>
      <c r="C1" s="1"/>
      <c r="D1" s="1"/>
    </row>
    <row r="2" customFormat="false" ht="48" hidden="false" customHeight="true" outlineLevel="0" collapsed="false">
      <c r="A2" s="2" t="s">
        <v>202</v>
      </c>
      <c r="B2" s="2"/>
      <c r="C2" s="2"/>
      <c r="D2" s="2"/>
    </row>
    <row r="3" customFormat="false" ht="13.5" hidden="false" customHeight="true" outlineLevel="0" collapsed="false"/>
    <row r="4" customFormat="false" ht="25.5" hidden="false" customHeight="true" outlineLevel="0" collapsed="false">
      <c r="A4" s="7" t="s">
        <v>203</v>
      </c>
      <c r="B4" s="7" t="s">
        <v>204</v>
      </c>
      <c r="C4" s="7" t="s">
        <v>205</v>
      </c>
      <c r="D4" s="7" t="s">
        <v>206</v>
      </c>
    </row>
    <row r="5" customFormat="false" ht="30" hidden="false" customHeight="true" outlineLevel="0" collapsed="false">
      <c r="A5" s="5" t="s">
        <v>207</v>
      </c>
      <c r="B5" s="22" t="n">
        <f aca="false">(Observed_Inputs!E6-Observed_Inputs!C6)/Observed_Inputs!E6</f>
        <v>0.341112804569256</v>
      </c>
      <c r="C5" s="6" t="s">
        <v>208</v>
      </c>
      <c r="D5" s="10" t="s">
        <v>209</v>
      </c>
    </row>
    <row r="6" customFormat="false" ht="25.5" hidden="false" customHeight="true" outlineLevel="0" collapsed="false">
      <c r="A6" s="5" t="s">
        <v>210</v>
      </c>
      <c r="B6" s="10" t="s">
        <v>145</v>
      </c>
      <c r="C6" s="6" t="s">
        <v>211</v>
      </c>
      <c r="D6" s="10" t="s">
        <v>212</v>
      </c>
    </row>
    <row r="7" customFormat="false" ht="25.5" hidden="false" customHeight="true" outlineLevel="0" collapsed="false">
      <c r="A7" s="5" t="s">
        <v>213</v>
      </c>
      <c r="B7" s="10" t="s">
        <v>145</v>
      </c>
      <c r="C7" s="6" t="s">
        <v>211</v>
      </c>
      <c r="D7" s="10" t="s">
        <v>212</v>
      </c>
    </row>
    <row r="8" customFormat="false" ht="25.5" hidden="false" customHeight="true" outlineLevel="0" collapsed="false">
      <c r="A8" s="5" t="s">
        <v>214</v>
      </c>
      <c r="B8" s="10" t="s">
        <v>145</v>
      </c>
      <c r="C8" s="6" t="s">
        <v>211</v>
      </c>
      <c r="D8" s="10" t="s">
        <v>212</v>
      </c>
    </row>
    <row r="9" customFormat="false" ht="24" hidden="false" customHeight="true" outlineLevel="0" collapsed="false">
      <c r="A9" s="4" t="s">
        <v>215</v>
      </c>
      <c r="B9" s="4"/>
      <c r="C9" s="4"/>
      <c r="D9" s="4"/>
    </row>
  </sheetData>
  <mergeCells count="3">
    <mergeCell ref="A1:D1"/>
    <mergeCell ref="A2:D2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8"/>
  </cols>
  <sheetData>
    <row r="1" customFormat="false" ht="24" hidden="false" customHeight="true" outlineLevel="0" collapsed="false">
      <c r="A1" s="1" t="s">
        <v>216</v>
      </c>
      <c r="B1" s="1"/>
      <c r="C1" s="1"/>
      <c r="D1" s="1"/>
    </row>
    <row r="2" customFormat="false" ht="48" hidden="false" customHeight="true" outlineLevel="0" collapsed="false">
      <c r="A2" s="2" t="s">
        <v>217</v>
      </c>
      <c r="B2" s="2"/>
      <c r="C2" s="2"/>
      <c r="D2" s="2"/>
    </row>
    <row r="3" customFormat="false" ht="13.5" hidden="false" customHeight="true" outlineLevel="0" collapsed="false"/>
    <row r="4" customFormat="false" ht="15" hidden="false" customHeight="true" outlineLevel="0" collapsed="false">
      <c r="A4" s="7" t="s">
        <v>118</v>
      </c>
      <c r="B4" s="7" t="s">
        <v>30</v>
      </c>
      <c r="C4" s="7" t="s">
        <v>31</v>
      </c>
      <c r="D4" s="7" t="s">
        <v>218</v>
      </c>
    </row>
    <row r="5" customFormat="false" ht="24" hidden="false" customHeight="true" outlineLevel="0" collapsed="false">
      <c r="A5" s="5" t="s">
        <v>219</v>
      </c>
      <c r="B5" s="22" t="n">
        <f aca="false">Observed_Inputs!B16/Observed_Inputs!B6</f>
        <v>0.801289333548766</v>
      </c>
      <c r="C5" s="6" t="s">
        <v>48</v>
      </c>
      <c r="D5" s="10" t="s">
        <v>220</v>
      </c>
    </row>
    <row r="6" customFormat="false" ht="24" hidden="false" customHeight="true" outlineLevel="0" collapsed="false">
      <c r="A6" s="5" t="s">
        <v>221</v>
      </c>
      <c r="B6" s="22" t="n">
        <f aca="false">Observed_Inputs!B17/Observed_Inputs!B6</f>
        <v>0.198711303908369</v>
      </c>
      <c r="C6" s="6" t="s">
        <v>48</v>
      </c>
      <c r="D6" s="10" t="s">
        <v>222</v>
      </c>
    </row>
    <row r="7" customFormat="false" ht="24" hidden="false" customHeight="true" outlineLevel="0" collapsed="false">
      <c r="A7" s="5" t="s">
        <v>223</v>
      </c>
      <c r="B7" s="13" t="n">
        <f aca="false">Observed_Inputs!C17/Observed_Inputs!B17</f>
        <v>311.171739104632</v>
      </c>
      <c r="C7" s="6" t="s">
        <v>95</v>
      </c>
      <c r="D7" s="10" t="s">
        <v>224</v>
      </c>
    </row>
    <row r="8" customFormat="false" ht="24" hidden="false" customHeight="true" outlineLevel="0" collapsed="false">
      <c r="A8" s="5" t="s">
        <v>225</v>
      </c>
      <c r="B8" s="13" t="n">
        <f aca="false">Observed_Inputs!E6/Observed_Inputs!B6</f>
        <v>304.281245556393</v>
      </c>
      <c r="C8" s="6" t="s">
        <v>95</v>
      </c>
      <c r="D8" s="10" t="s">
        <v>226</v>
      </c>
    </row>
    <row r="9" customFormat="false" ht="13.5" hidden="false" customHeight="true" outlineLevel="0" collapsed="false"/>
    <row r="10" customFormat="false" ht="15.75" hidden="false" customHeight="true" outlineLevel="0" collapsed="false">
      <c r="A10" s="3" t="s">
        <v>227</v>
      </c>
      <c r="B10" s="3"/>
      <c r="C10" s="3"/>
      <c r="D10" s="3"/>
    </row>
    <row r="11" customFormat="false" ht="49.5" hidden="false" customHeight="true" outlineLevel="0" collapsed="false">
      <c r="A11" s="4" t="s">
        <v>228</v>
      </c>
      <c r="B11" s="4"/>
      <c r="C11" s="4"/>
      <c r="D11" s="4"/>
    </row>
  </sheetData>
  <mergeCells count="4">
    <mergeCell ref="A1:D1"/>
    <mergeCell ref="A2:D2"/>
    <mergeCell ref="A10:D10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4"/>
    <col collapsed="false" customWidth="true" hidden="false" outlineLevel="0" max="8" min="8" style="0" width="40"/>
  </cols>
  <sheetData>
    <row r="1" customFormat="false" ht="24" hidden="false" customHeight="true" outlineLevel="0" collapsed="false">
      <c r="A1" s="1" t="s">
        <v>229</v>
      </c>
      <c r="B1" s="1"/>
      <c r="C1" s="1"/>
      <c r="D1" s="1"/>
      <c r="E1" s="1"/>
      <c r="F1" s="1"/>
      <c r="G1" s="1"/>
      <c r="H1" s="1"/>
    </row>
    <row r="2" customFormat="false" ht="48" hidden="false" customHeight="true" outlineLevel="0" collapsed="false">
      <c r="A2" s="2" t="s">
        <v>230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/>
    <row r="4" customFormat="false" ht="25.5" hidden="false" customHeight="true" outlineLevel="0" collapsed="false">
      <c r="A4" s="7" t="s">
        <v>135</v>
      </c>
      <c r="B4" s="7" t="s">
        <v>231</v>
      </c>
      <c r="C4" s="7" t="s">
        <v>232</v>
      </c>
      <c r="D4" s="7" t="s">
        <v>233</v>
      </c>
      <c r="E4" s="7" t="s">
        <v>234</v>
      </c>
      <c r="F4" s="7" t="s">
        <v>235</v>
      </c>
      <c r="G4" s="7" t="s">
        <v>236</v>
      </c>
      <c r="H4" s="7" t="s">
        <v>189</v>
      </c>
    </row>
    <row r="5" customFormat="false" ht="30" hidden="false" customHeight="true" outlineLevel="0" collapsed="false">
      <c r="A5" s="5" t="s">
        <v>190</v>
      </c>
      <c r="B5" s="22" t="n">
        <f aca="false">Observed_Inputs!D23/Observed_Inputs!B23</f>
        <v>0.243555279900131</v>
      </c>
      <c r="C5" s="22" t="n">
        <f aca="false">Observed_Inputs!F23/Observed_Inputs!B23</f>
        <v>0.615133166357873</v>
      </c>
      <c r="D5" s="10" t="s">
        <v>145</v>
      </c>
      <c r="E5" s="22" t="n">
        <f aca="false">Observed_Inputs!E23/Observed_Inputs!C23</f>
        <v>0.370959373061279</v>
      </c>
      <c r="F5" s="22" t="n">
        <f aca="false">Observed_Inputs!G23/Observed_Inputs!C23</f>
        <v>0.509620955925163</v>
      </c>
      <c r="G5" s="10" t="s">
        <v>145</v>
      </c>
      <c r="H5" s="10" t="s">
        <v>237</v>
      </c>
    </row>
    <row r="6" customFormat="false" ht="30" hidden="false" customHeight="true" outlineLevel="0" collapsed="false">
      <c r="A6" s="5" t="s">
        <v>196</v>
      </c>
      <c r="B6" s="22" t="n">
        <f aca="false">Observed_Inputs!D25/Observed_Inputs!B25</f>
        <v>0.0996762093443281</v>
      </c>
      <c r="C6" s="22" t="n">
        <f aca="false">Observed_Inputs!F25/Observed_Inputs!B25</f>
        <v>0.772374263328661</v>
      </c>
      <c r="D6" s="22" t="n">
        <f aca="false">Observed_Inputs!H25/Observed_Inputs!B25</f>
        <v>0.127952115138382</v>
      </c>
      <c r="E6" s="22" t="n">
        <f aca="false">Observed_Inputs!E25/Observed_Inputs!C25</f>
        <v>0.157450189468471</v>
      </c>
      <c r="F6" s="22" t="n">
        <f aca="false">Observed_Inputs!G25/Observed_Inputs!C25</f>
        <v>0.727168870969536</v>
      </c>
      <c r="G6" s="22" t="n">
        <f aca="false">Observed_Inputs!I25/Observed_Inputs!C25</f>
        <v>0.115380939561993</v>
      </c>
      <c r="H6" s="10" t="s">
        <v>237</v>
      </c>
    </row>
    <row r="7" customFormat="false" ht="30" hidden="false" customHeight="true" outlineLevel="0" collapsed="false">
      <c r="A7" s="5" t="s">
        <v>199</v>
      </c>
      <c r="B7" s="22" t="n">
        <f aca="false">Observed_Inputs!D28/Observed_Inputs!B28</f>
        <v>0.263947752909716</v>
      </c>
      <c r="C7" s="22" t="n">
        <f aca="false">Observed_Inputs!F28/Observed_Inputs!B28</f>
        <v>0.534105951422718</v>
      </c>
      <c r="D7" s="22" t="n">
        <f aca="false">Observed_Inputs!H28/Observed_Inputs!B28</f>
        <v>0.201946295667566</v>
      </c>
      <c r="E7" s="22" t="n">
        <f aca="false">Observed_Inputs!E28/Observed_Inputs!C28</f>
        <v>0.463953490109967</v>
      </c>
      <c r="F7" s="22" t="n">
        <f aca="false">Observed_Inputs!G28/Observed_Inputs!C28</f>
        <v>0.416673925871756</v>
      </c>
      <c r="G7" s="22" t="n">
        <f aca="false">Observed_Inputs!I28/Observed_Inputs!C28</f>
        <v>0.119372584018277</v>
      </c>
      <c r="H7" s="10" t="s">
        <v>237</v>
      </c>
    </row>
    <row r="8" customFormat="false" ht="24" hidden="false" customHeight="true" outlineLevel="0" collapsed="false">
      <c r="A8" s="4" t="s">
        <v>238</v>
      </c>
      <c r="B8" s="4"/>
      <c r="C8" s="4"/>
      <c r="D8" s="4"/>
      <c r="E8" s="4"/>
      <c r="F8" s="4"/>
      <c r="G8" s="4"/>
      <c r="H8" s="4"/>
    </row>
  </sheetData>
  <mergeCells count="3">
    <mergeCell ref="A1:H1"/>
    <mergeCell ref="A2:H2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330"/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64"/>
  </cols>
  <sheetData>
    <row r="1" customFormat="false" ht="24" hidden="false" customHeight="true" outlineLevel="0" collapsed="false">
      <c r="A1" s="1" t="s">
        <v>239</v>
      </c>
      <c r="B1" s="1"/>
      <c r="C1" s="1"/>
    </row>
    <row r="2" customFormat="false" ht="48" hidden="false" customHeight="true" outlineLevel="0" collapsed="false">
      <c r="A2" s="2" t="s">
        <v>240</v>
      </c>
      <c r="B2" s="2"/>
      <c r="C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241</v>
      </c>
      <c r="B4" s="3"/>
      <c r="C4" s="3"/>
    </row>
    <row r="5" customFormat="false" ht="55.5" hidden="false" customHeight="true" outlineLevel="0" collapsed="false">
      <c r="A5" s="5" t="s">
        <v>242</v>
      </c>
      <c r="B5" s="10" t="s">
        <v>243</v>
      </c>
      <c r="C5" s="10" t="s">
        <v>244</v>
      </c>
    </row>
    <row r="6" customFormat="false" ht="13.5" hidden="false" customHeight="true" outlineLevel="0" collapsed="false"/>
    <row r="7" customFormat="false" ht="15.75" hidden="false" customHeight="true" outlineLevel="0" collapsed="false">
      <c r="A7" s="3" t="s">
        <v>245</v>
      </c>
      <c r="B7" s="3"/>
      <c r="C7" s="3"/>
    </row>
    <row r="8" customFormat="false" ht="33.75" hidden="false" customHeight="true" outlineLevel="0" collapsed="false">
      <c r="A8" s="5" t="s">
        <v>246</v>
      </c>
      <c r="B8" s="10" t="s">
        <v>247</v>
      </c>
      <c r="C8" s="10" t="s">
        <v>248</v>
      </c>
    </row>
    <row r="9" customFormat="false" ht="33.75" hidden="false" customHeight="true" outlineLevel="0" collapsed="false">
      <c r="A9" s="5" t="s">
        <v>249</v>
      </c>
      <c r="B9" s="10" t="s">
        <v>243</v>
      </c>
      <c r="C9" s="10" t="s">
        <v>250</v>
      </c>
    </row>
    <row r="10" customFormat="false" ht="13.5" hidden="false" customHeight="true" outlineLevel="0" collapsed="false"/>
    <row r="11" customFormat="false" ht="15.75" hidden="false" customHeight="true" outlineLevel="0" collapsed="false">
      <c r="A11" s="3" t="s">
        <v>251</v>
      </c>
      <c r="B11" s="3"/>
      <c r="C11" s="3"/>
    </row>
    <row r="12" customFormat="false" ht="60.75" hidden="false" customHeight="true" outlineLevel="0" collapsed="false">
      <c r="A12" s="4" t="s">
        <v>252</v>
      </c>
      <c r="B12" s="4"/>
      <c r="C12" s="4"/>
    </row>
  </sheetData>
  <mergeCells count="6">
    <mergeCell ref="A1:C1"/>
    <mergeCell ref="A2:C2"/>
    <mergeCell ref="A4:C4"/>
    <mergeCell ref="A7:C7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4" hidden="false" customHeight="true" outlineLevel="0" collapsed="false">
      <c r="A1" s="1" t="s">
        <v>253</v>
      </c>
      <c r="B1" s="1"/>
      <c r="C1" s="1"/>
      <c r="D1" s="1"/>
    </row>
    <row r="2" customFormat="false" ht="48" hidden="false" customHeight="true" outlineLevel="0" collapsed="false">
      <c r="A2" s="2" t="s">
        <v>254</v>
      </c>
      <c r="B2" s="2"/>
      <c r="C2" s="2"/>
      <c r="D2" s="2"/>
    </row>
    <row r="3" customFormat="false" ht="13.5" hidden="false" customHeight="true" outlineLevel="0" collapsed="false"/>
    <row r="4" customFormat="false" ht="15" hidden="false" customHeight="true" outlineLevel="0" collapsed="false">
      <c r="A4" s="7" t="s">
        <v>118</v>
      </c>
      <c r="B4" s="7" t="s">
        <v>30</v>
      </c>
      <c r="C4" s="7" t="s">
        <v>31</v>
      </c>
      <c r="D4" s="7" t="s">
        <v>218</v>
      </c>
    </row>
    <row r="5" customFormat="false" ht="30" hidden="false" customHeight="true" outlineLevel="0" collapsed="false">
      <c r="A5" s="5" t="s">
        <v>255</v>
      </c>
      <c r="B5" s="24" t="n">
        <f aca="false">Observed_Inputs!F22/T2_Medicare_Capture!B5</f>
        <v>1.0564349495548</v>
      </c>
      <c r="C5" s="6" t="s">
        <v>256</v>
      </c>
      <c r="D5" s="10" t="s">
        <v>257</v>
      </c>
    </row>
    <row r="6" customFormat="false" ht="27.75" hidden="false" customHeight="true" outlineLevel="0" collapsed="false">
      <c r="A6" s="5" t="s">
        <v>258</v>
      </c>
      <c r="B6" s="9" t="s">
        <v>259</v>
      </c>
      <c r="C6" s="6" t="s">
        <v>99</v>
      </c>
      <c r="D6" s="10" t="s">
        <v>260</v>
      </c>
    </row>
    <row r="7" customFormat="false" ht="25.5" hidden="false" customHeight="true" outlineLevel="0" collapsed="false">
      <c r="A7" s="5" t="s">
        <v>261</v>
      </c>
      <c r="B7" s="10" t="s">
        <v>145</v>
      </c>
      <c r="C7" s="6" t="s">
        <v>256</v>
      </c>
      <c r="D7" s="10" t="s">
        <v>262</v>
      </c>
    </row>
    <row r="8" customFormat="false" ht="24" hidden="false" customHeight="true" outlineLevel="0" collapsed="false">
      <c r="A8" s="4" t="s">
        <v>263</v>
      </c>
      <c r="B8" s="4"/>
      <c r="C8" s="4"/>
      <c r="D8" s="4"/>
    </row>
  </sheetData>
  <mergeCells count="3">
    <mergeCell ref="A1:D1"/>
    <mergeCell ref="A2:D2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330"/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2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264</v>
      </c>
      <c r="B1" s="1"/>
      <c r="C1" s="1"/>
      <c r="D1" s="1"/>
    </row>
    <row r="2" customFormat="false" ht="48" hidden="false" customHeight="true" outlineLevel="0" collapsed="false">
      <c r="A2" s="2" t="s">
        <v>265</v>
      </c>
      <c r="B2" s="2"/>
      <c r="C2" s="2"/>
      <c r="D2" s="2"/>
    </row>
    <row r="3" customFormat="false" ht="13.5" hidden="false" customHeight="true" outlineLevel="0" collapsed="false"/>
    <row r="4" customFormat="false" ht="15" hidden="false" customHeight="true" outlineLevel="0" collapsed="false">
      <c r="A4" s="7" t="s">
        <v>266</v>
      </c>
      <c r="B4" s="7" t="s">
        <v>267</v>
      </c>
      <c r="C4" s="7" t="s">
        <v>268</v>
      </c>
      <c r="D4" s="7" t="s">
        <v>269</v>
      </c>
    </row>
    <row r="5" customFormat="false" ht="27.75" hidden="false" customHeight="true" outlineLevel="0" collapsed="false">
      <c r="A5" s="5" t="s">
        <v>270</v>
      </c>
      <c r="B5" s="10" t="s">
        <v>145</v>
      </c>
      <c r="C5" s="10" t="s">
        <v>145</v>
      </c>
      <c r="D5" s="10" t="s">
        <v>271</v>
      </c>
    </row>
    <row r="6" customFormat="false" ht="27.75" hidden="false" customHeight="true" outlineLevel="0" collapsed="false">
      <c r="A6" s="5" t="s">
        <v>272</v>
      </c>
      <c r="B6" s="10" t="s">
        <v>145</v>
      </c>
      <c r="C6" s="10" t="s">
        <v>145</v>
      </c>
      <c r="D6" s="10" t="s">
        <v>271</v>
      </c>
    </row>
    <row r="7" customFormat="false" ht="27.75" hidden="false" customHeight="true" outlineLevel="0" collapsed="false">
      <c r="A7" s="5" t="s">
        <v>273</v>
      </c>
      <c r="B7" s="10" t="s">
        <v>145</v>
      </c>
      <c r="C7" s="10" t="s">
        <v>145</v>
      </c>
      <c r="D7" s="10" t="s">
        <v>271</v>
      </c>
    </row>
    <row r="8" customFormat="false" ht="24" hidden="false" customHeight="true" outlineLevel="0" collapsed="false">
      <c r="A8" s="4" t="s">
        <v>274</v>
      </c>
      <c r="B8" s="4"/>
      <c r="C8" s="4"/>
      <c r="D8" s="4"/>
    </row>
  </sheetData>
  <mergeCells count="3">
    <mergeCell ref="A1:D1"/>
    <mergeCell ref="A2:D2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94C"/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24" hidden="false" customHeight="true" outlineLevel="0" collapsed="false">
      <c r="A1" s="1" t="s">
        <v>275</v>
      </c>
      <c r="B1" s="1"/>
    </row>
    <row r="2" customFormat="false" ht="48" hidden="false" customHeight="true" outlineLevel="0" collapsed="false">
      <c r="A2" s="2" t="s">
        <v>276</v>
      </c>
      <c r="B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277</v>
      </c>
      <c r="B4" s="3"/>
    </row>
    <row r="5" customFormat="false" ht="39.75" hidden="false" customHeight="true" outlineLevel="0" collapsed="false">
      <c r="A5" s="5" t="s">
        <v>278</v>
      </c>
      <c r="B5" s="6" t="s">
        <v>279</v>
      </c>
    </row>
    <row r="6" customFormat="false" ht="39.75" hidden="false" customHeight="true" outlineLevel="0" collapsed="false">
      <c r="A6" s="5" t="s">
        <v>280</v>
      </c>
      <c r="B6" s="6" t="s">
        <v>281</v>
      </c>
    </row>
    <row r="7" customFormat="false" ht="39.75" hidden="false" customHeight="true" outlineLevel="0" collapsed="false">
      <c r="A7" s="5" t="s">
        <v>282</v>
      </c>
      <c r="B7" s="6" t="s">
        <v>283</v>
      </c>
    </row>
    <row r="8" customFormat="false" ht="39.75" hidden="false" customHeight="true" outlineLevel="0" collapsed="false">
      <c r="A8" s="5" t="s">
        <v>284</v>
      </c>
      <c r="B8" s="6" t="s">
        <v>285</v>
      </c>
    </row>
    <row r="9" customFormat="false" ht="19.5" hidden="false" customHeight="true" outlineLevel="0" collapsed="false">
      <c r="A9" s="17" t="s">
        <v>286</v>
      </c>
      <c r="B9" s="20" t="s">
        <v>145</v>
      </c>
    </row>
    <row r="10" customFormat="false" ht="24" hidden="false" customHeight="true" outlineLevel="0" collapsed="false">
      <c r="A10" s="4" t="s">
        <v>287</v>
      </c>
      <c r="B10" s="4"/>
    </row>
  </sheetData>
  <mergeCells count="4">
    <mergeCell ref="A1:B1"/>
    <mergeCell ref="A2:B2"/>
    <mergeCell ref="A4:B4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343B"/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288</v>
      </c>
      <c r="B1" s="1"/>
      <c r="C1" s="1"/>
    </row>
    <row r="2" customFormat="false" ht="48" hidden="false" customHeight="true" outlineLevel="0" collapsed="false">
      <c r="A2" s="2" t="s">
        <v>289</v>
      </c>
      <c r="B2" s="2"/>
      <c r="C2" s="2"/>
    </row>
    <row r="3" customFormat="false" ht="13.5" hidden="false" customHeight="true" outlineLevel="0" collapsed="false"/>
    <row r="4" customFormat="false" ht="15" hidden="false" customHeight="true" outlineLevel="0" collapsed="false">
      <c r="A4" s="7" t="s">
        <v>290</v>
      </c>
      <c r="B4" s="7" t="s">
        <v>30</v>
      </c>
      <c r="C4" s="7" t="s">
        <v>291</v>
      </c>
    </row>
    <row r="5" customFormat="false" ht="30" hidden="false" customHeight="true" outlineLevel="0" collapsed="false">
      <c r="A5" s="5" t="s">
        <v>177</v>
      </c>
      <c r="B5" s="22" t="n">
        <f aca="false">T2_Medicare_Capture!B13</f>
        <v>0.505582474857161</v>
      </c>
      <c r="C5" s="10" t="s">
        <v>292</v>
      </c>
    </row>
    <row r="6" customFormat="false" ht="30" hidden="false" customHeight="true" outlineLevel="0" collapsed="false">
      <c r="A6" s="5" t="s">
        <v>293</v>
      </c>
      <c r="B6" s="23" t="n">
        <f aca="false">1/T2_Medicare_Capture!B13</f>
        <v>1.97791665995251</v>
      </c>
      <c r="C6" s="10" t="s">
        <v>294</v>
      </c>
    </row>
    <row r="7" customFormat="false" ht="13.5" hidden="false" customHeight="true" outlineLevel="0" collapsed="false"/>
    <row r="8" customFormat="false" ht="15.75" hidden="false" customHeight="true" outlineLevel="0" collapsed="false">
      <c r="A8" s="3" t="s">
        <v>295</v>
      </c>
      <c r="B8" s="3"/>
      <c r="C8" s="3"/>
    </row>
    <row r="9" customFormat="false" ht="30" hidden="false" customHeight="true" outlineLevel="0" collapsed="false">
      <c r="A9" s="6" t="s">
        <v>296</v>
      </c>
    </row>
    <row r="10" customFormat="false" ht="30" hidden="false" customHeight="true" outlineLevel="0" collapsed="false">
      <c r="A10" s="6" t="s">
        <v>297</v>
      </c>
    </row>
    <row r="11" customFormat="false" ht="30" hidden="false" customHeight="true" outlineLevel="0" collapsed="false">
      <c r="A11" s="6" t="s">
        <v>298</v>
      </c>
    </row>
    <row r="12" customFormat="false" ht="30" hidden="false" customHeight="true" outlineLevel="0" collapsed="false">
      <c r="A12" s="6" t="s">
        <v>299</v>
      </c>
    </row>
    <row r="13" customFormat="false" ht="30" hidden="false" customHeight="true" outlineLevel="0" collapsed="false">
      <c r="A13" s="6" t="s">
        <v>300</v>
      </c>
    </row>
  </sheetData>
  <mergeCells count="3">
    <mergeCell ref="A1:C1"/>
    <mergeCell ref="A2:C2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1330"/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46"/>
  </cols>
  <sheetData>
    <row r="1" customFormat="false" ht="24" hidden="false" customHeight="true" outlineLevel="0" collapsed="false">
      <c r="A1" s="1" t="s">
        <v>301</v>
      </c>
      <c r="B1" s="1"/>
      <c r="C1" s="1"/>
      <c r="D1" s="1"/>
      <c r="E1" s="1"/>
    </row>
    <row r="2" customFormat="false" ht="48" hidden="false" customHeight="true" outlineLevel="0" collapsed="false">
      <c r="A2" s="2" t="s">
        <v>302</v>
      </c>
      <c r="B2" s="2"/>
      <c r="C2" s="2"/>
      <c r="D2" s="2"/>
      <c r="E2" s="2"/>
    </row>
    <row r="3" customFormat="false" ht="13.5" hidden="false" customHeight="true" outlineLevel="0" collapsed="false"/>
    <row r="4" customFormat="false" ht="25.5" hidden="false" customHeight="true" outlineLevel="0" collapsed="false">
      <c r="A4" s="7" t="s">
        <v>135</v>
      </c>
      <c r="B4" s="7" t="s">
        <v>303</v>
      </c>
      <c r="C4" s="7" t="s">
        <v>304</v>
      </c>
      <c r="D4" s="7" t="s">
        <v>305</v>
      </c>
      <c r="E4" s="7" t="s">
        <v>33</v>
      </c>
    </row>
    <row r="5" customFormat="false" ht="25.5" hidden="false" customHeight="true" outlineLevel="0" collapsed="false">
      <c r="A5" s="5" t="s">
        <v>190</v>
      </c>
      <c r="B5" s="13" t="n">
        <f aca="false">Observed_Inputs!E23/Observed_Inputs!D23</f>
        <v>626.24657970299</v>
      </c>
      <c r="C5" s="23" t="n">
        <f aca="false">Observed_Inputs!E23/Observed_Inputs!D23/Benchmarks_Public!C25</f>
        <v>1.91554892729589</v>
      </c>
      <c r="D5" s="23" t="n">
        <f aca="false">Observed_Inputs!E23/Observed_Inputs!D23/Benchmarks_Public!D25</f>
        <v>1.91091962560414</v>
      </c>
      <c r="E5" s="10" t="s">
        <v>306</v>
      </c>
    </row>
    <row r="6" customFormat="false" ht="25.5" hidden="false" customHeight="true" outlineLevel="0" collapsed="false">
      <c r="A6" s="5" t="s">
        <v>194</v>
      </c>
      <c r="B6" s="10" t="s">
        <v>145</v>
      </c>
      <c r="C6" s="10" t="s">
        <v>145</v>
      </c>
      <c r="D6" s="10" t="s">
        <v>145</v>
      </c>
      <c r="E6" s="10" t="s">
        <v>307</v>
      </c>
    </row>
    <row r="7" customFormat="false" ht="25.5" hidden="false" customHeight="true" outlineLevel="0" collapsed="false">
      <c r="A7" s="5" t="s">
        <v>196</v>
      </c>
      <c r="B7" s="13" t="n">
        <f aca="false">Observed_Inputs!E25/Observed_Inputs!D25</f>
        <v>533.188815494227</v>
      </c>
      <c r="C7" s="23" t="n">
        <f aca="false">Observed_Inputs!E25/Observed_Inputs!D25/Benchmarks_Public!C27</f>
        <v>1.95708712191392</v>
      </c>
      <c r="D7" s="23" t="n">
        <f aca="false">Observed_Inputs!E25/Observed_Inputs!D25/Benchmarks_Public!D27</f>
        <v>2.04561218298188</v>
      </c>
      <c r="E7" s="10" t="s">
        <v>306</v>
      </c>
    </row>
    <row r="8" customFormat="false" ht="25.5" hidden="false" customHeight="true" outlineLevel="0" collapsed="false">
      <c r="A8" s="5" t="s">
        <v>197</v>
      </c>
      <c r="B8" s="10" t="s">
        <v>145</v>
      </c>
      <c r="C8" s="10" t="s">
        <v>145</v>
      </c>
      <c r="D8" s="10" t="s">
        <v>145</v>
      </c>
      <c r="E8" s="10" t="s">
        <v>307</v>
      </c>
    </row>
    <row r="9" customFormat="false" ht="25.5" hidden="false" customHeight="true" outlineLevel="0" collapsed="false">
      <c r="A9" s="5" t="s">
        <v>198</v>
      </c>
      <c r="B9" s="10" t="s">
        <v>145</v>
      </c>
      <c r="C9" s="10" t="s">
        <v>145</v>
      </c>
      <c r="D9" s="10" t="s">
        <v>145</v>
      </c>
      <c r="E9" s="10" t="s">
        <v>307</v>
      </c>
    </row>
    <row r="10" customFormat="false" ht="25.5" hidden="false" customHeight="true" outlineLevel="0" collapsed="false">
      <c r="A10" s="5" t="s">
        <v>199</v>
      </c>
      <c r="B10" s="13" t="n">
        <f aca="false">Observed_Inputs!E28/Observed_Inputs!D28</f>
        <v>2207.35964214999</v>
      </c>
      <c r="C10" s="23" t="n">
        <f aca="false">Observed_Inputs!E28/Observed_Inputs!D28/Benchmarks_Public!C30</f>
        <v>2.49298040742915</v>
      </c>
      <c r="D10" s="23" t="n">
        <f aca="false">Observed_Inputs!E28/Observed_Inputs!D28/Benchmarks_Public!D30</f>
        <v>2.40358861682781</v>
      </c>
      <c r="E10" s="10" t="s">
        <v>306</v>
      </c>
    </row>
    <row r="11" customFormat="false" ht="24" hidden="false" customHeight="true" outlineLevel="0" collapsed="false">
      <c r="A11" s="4" t="s">
        <v>308</v>
      </c>
      <c r="B11" s="4"/>
      <c r="C11" s="4"/>
      <c r="D11" s="4"/>
      <c r="E11" s="4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94C"/>
    <pageSetUpPr fitToPage="tru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24" hidden="false" customHeight="true" outlineLevel="0" collapsed="false">
      <c r="A1" s="25" t="s">
        <v>309</v>
      </c>
    </row>
    <row r="2" customFormat="false" ht="48" hidden="false" customHeight="true" outlineLevel="0" collapsed="false">
      <c r="A2" s="26" t="s">
        <v>310</v>
      </c>
    </row>
    <row r="3" customFormat="false" ht="13.5" hidden="false" customHeight="true" outlineLevel="0" collapsed="false"/>
    <row r="4" customFormat="false" ht="15.75" hidden="false" customHeight="true" outlineLevel="0" collapsed="false">
      <c r="A4" s="27" t="s">
        <v>311</v>
      </c>
    </row>
    <row r="5" customFormat="false" ht="60.75" hidden="false" customHeight="true" outlineLevel="0" collapsed="false">
      <c r="A5" s="28" t="s">
        <v>312</v>
      </c>
    </row>
    <row r="6" customFormat="false" ht="15.75" hidden="false" customHeight="true" outlineLevel="0" collapsed="false">
      <c r="A6" s="27" t="s">
        <v>313</v>
      </c>
    </row>
    <row r="7" customFormat="false" ht="49.5" hidden="false" customHeight="true" outlineLevel="0" collapsed="false">
      <c r="A7" s="28" t="s">
        <v>314</v>
      </c>
    </row>
    <row r="8" customFormat="false" ht="15.75" hidden="false" customHeight="true" outlineLevel="0" collapsed="false">
      <c r="A8" s="27" t="s">
        <v>315</v>
      </c>
    </row>
    <row r="9" customFormat="false" ht="37.5" hidden="false" customHeight="true" outlineLevel="0" collapsed="false">
      <c r="A9" s="28" t="s">
        <v>316</v>
      </c>
    </row>
    <row r="10" customFormat="false" ht="15.75" hidden="false" customHeight="true" outlineLevel="0" collapsed="false">
      <c r="A10" s="27" t="s">
        <v>317</v>
      </c>
    </row>
    <row r="11" customFormat="false" ht="26.25" hidden="false" customHeight="true" outlineLevel="0" collapsed="false">
      <c r="A11" s="28" t="s">
        <v>318</v>
      </c>
    </row>
    <row r="12" customFormat="false" ht="15.75" hidden="false" customHeight="true" outlineLevel="0" collapsed="false">
      <c r="A12" s="27" t="s">
        <v>319</v>
      </c>
    </row>
    <row r="13" customFormat="false" ht="37.5" hidden="false" customHeight="true" outlineLevel="0" collapsed="false">
      <c r="A13" s="28" t="s">
        <v>320</v>
      </c>
    </row>
    <row r="14" customFormat="false" ht="15.75" hidden="false" customHeight="true" outlineLevel="0" collapsed="false">
      <c r="A14" s="27" t="s">
        <v>321</v>
      </c>
    </row>
    <row r="15" customFormat="false" ht="49.5" hidden="false" customHeight="true" outlineLevel="0" collapsed="false">
      <c r="A15" s="28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4"/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6"/>
  </cols>
  <sheetData>
    <row r="1" customFormat="false" ht="24" hidden="false" customHeight="true" outlineLevel="0" collapsed="false">
      <c r="A1" s="1" t="s">
        <v>323</v>
      </c>
      <c r="B1" s="1"/>
    </row>
    <row r="2" customFormat="false" ht="48" hidden="false" customHeight="true" outlineLevel="0" collapsed="false">
      <c r="A2" s="2" t="s">
        <v>324</v>
      </c>
      <c r="B2" s="2"/>
    </row>
    <row r="3" customFormat="false" ht="13.5" hidden="false" customHeight="true" outlineLevel="0" collapsed="false"/>
    <row r="4" customFormat="false" ht="15.75" hidden="false" customHeight="true" outlineLevel="0" collapsed="false">
      <c r="A4" s="3" t="s">
        <v>325</v>
      </c>
      <c r="B4" s="3"/>
    </row>
    <row r="5" customFormat="false" ht="24" hidden="false" customHeight="true" outlineLevel="0" collapsed="false">
      <c r="A5" s="5" t="s">
        <v>326</v>
      </c>
      <c r="B5" s="6" t="s">
        <v>327</v>
      </c>
    </row>
    <row r="6" customFormat="false" ht="24" hidden="false" customHeight="true" outlineLevel="0" collapsed="false">
      <c r="A6" s="5" t="s">
        <v>328</v>
      </c>
      <c r="B6" s="6" t="s">
        <v>329</v>
      </c>
    </row>
    <row r="7" customFormat="false" ht="24" hidden="false" customHeight="true" outlineLevel="0" collapsed="false">
      <c r="A7" s="5" t="s">
        <v>330</v>
      </c>
      <c r="B7" s="6" t="s">
        <v>331</v>
      </c>
    </row>
    <row r="8" customFormat="false" ht="24" hidden="false" customHeight="true" outlineLevel="0" collapsed="false">
      <c r="A8" s="5" t="s">
        <v>332</v>
      </c>
      <c r="B8" s="6" t="s">
        <v>333</v>
      </c>
    </row>
    <row r="9" customFormat="false" ht="24" hidden="false" customHeight="true" outlineLevel="0" collapsed="false">
      <c r="A9" s="5" t="s">
        <v>334</v>
      </c>
      <c r="B9" s="6" t="s">
        <v>335</v>
      </c>
    </row>
    <row r="10" customFormat="false" ht="13.5" hidden="false" customHeight="true" outlineLevel="0" collapsed="false"/>
    <row r="11" customFormat="false" ht="15.75" hidden="false" customHeight="true" outlineLevel="0" collapsed="false">
      <c r="A11" s="3" t="s">
        <v>336</v>
      </c>
      <c r="B11" s="3"/>
    </row>
    <row r="12" customFormat="false" ht="19.5" hidden="false" customHeight="true" outlineLevel="0" collapsed="false">
      <c r="A12" s="17" t="s">
        <v>337</v>
      </c>
      <c r="B12" s="20" t="s">
        <v>338</v>
      </c>
    </row>
    <row r="13" customFormat="false" ht="19.5" hidden="false" customHeight="true" outlineLevel="0" collapsed="false">
      <c r="A13" s="17" t="s">
        <v>339</v>
      </c>
      <c r="B13" s="20" t="s">
        <v>145</v>
      </c>
    </row>
    <row r="14" customFormat="false" ht="13.5" hidden="false" customHeight="true" outlineLevel="0" collapsed="false"/>
    <row r="15" customFormat="false" ht="15.75" hidden="false" customHeight="true" outlineLevel="0" collapsed="false">
      <c r="A15" s="3" t="s">
        <v>340</v>
      </c>
      <c r="B15" s="3"/>
    </row>
    <row r="16" customFormat="false" ht="39.75" hidden="false" customHeight="true" outlineLevel="0" collapsed="false">
      <c r="A16" s="5" t="s">
        <v>341</v>
      </c>
      <c r="B16" s="10" t="s">
        <v>342</v>
      </c>
    </row>
    <row r="17" customFormat="false" ht="27.75" hidden="false" customHeight="true" outlineLevel="0" collapsed="false">
      <c r="A17" s="5" t="s">
        <v>343</v>
      </c>
      <c r="B17" s="10" t="s">
        <v>344</v>
      </c>
    </row>
  </sheetData>
  <mergeCells count="5">
    <mergeCell ref="A1:B1"/>
    <mergeCell ref="A2:B2"/>
    <mergeCell ref="A4:B4"/>
    <mergeCell ref="A11:B11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2026-07-14T00:56:17Z</dcterms:created>
  <dc:creator>openpyxl</dc:creator>
  <dc:description/>
  <dc:language>en-US</dc:language>
  <cp:lastModifiedBy/>
  <dcterms:modified xsi:type="dcterms:W3CDTF">2026-07-14T00:56:17Z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